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mc:AlternateContent xmlns:mc="http://schemas.openxmlformats.org/markup-compatibility/2006">
    <mc:Choice Requires="x15">
      <x15ac:absPath xmlns:x15ac="http://schemas.microsoft.com/office/spreadsheetml/2010/11/ac" url="https://d.docs.live.net/8ffe5eab9d90885b/Documents/"/>
    </mc:Choice>
  </mc:AlternateContent>
  <xr:revisionPtr revIDLastSave="3" documentId="14_{58A7256D-FFE8-4BEC-B7DE-CFB219D074F8}" xr6:coauthVersionLast="47" xr6:coauthVersionMax="47" xr10:uidLastSave="{7570F57F-C202-49F8-9258-CF5C9A2BED71}"/>
  <bookViews>
    <workbookView xWindow="-120" yWindow="-120" windowWidth="20730" windowHeight="11040" firstSheet="1" activeTab="1" xr2:uid="{1254EE59-E996-4FE5-9AC0-269DB5278805}"/>
  </bookViews>
  <sheets>
    <sheet name="Term 2 Population Data Colle..." sheetId="1" r:id="rId1"/>
    <sheet name="clean data" sheetId="2" r:id="rId2"/>
    <sheet name="Pivot Tables" sheetId="4" r:id="rId3"/>
    <sheet name="Dashboard " sheetId="8" r:id="rId4"/>
  </sheets>
  <definedNames>
    <definedName name="_xlnm._FilterDatabase" localSheetId="1" hidden="1">'clean data'!$A$1:$Q$590</definedName>
    <definedName name="_xlnm.Print_Area" localSheetId="3">'Dashboard '!$A$1:$AA$69</definedName>
    <definedName name="Slicer_County">#N/A</definedName>
  </definedNames>
  <calcPr calcId="191029"/>
  <pivotCaches>
    <pivotCache cacheId="14"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7" roundtripDataChecksum="zDG6z+B8Kt+kviOFit9XZlOGA5rCU2RFXRdT46Zx12Q="/>
    </ext>
  </extLst>
</workbook>
</file>

<file path=xl/calcChain.xml><?xml version="1.0" encoding="utf-8"?>
<calcChain xmlns="http://schemas.openxmlformats.org/spreadsheetml/2006/main">
  <c r="J10" i="8" l="1"/>
  <c r="F10" i="8"/>
  <c r="L40" i="8" a="1"/>
  <c r="L40" i="8" s="1"/>
  <c r="M40" i="8" s="1"/>
  <c r="K40" i="8" a="1"/>
  <c r="K40" i="8" s="1"/>
  <c r="N10" i="8"/>
  <c r="B10" i="8"/>
  <c r="M46" i="8" l="1"/>
  <c r="M50" i="8"/>
  <c r="M48" i="8"/>
  <c r="M47" i="8"/>
  <c r="M45" i="8"/>
  <c r="M44" i="8"/>
  <c r="M43" i="8"/>
  <c r="M42" i="8"/>
  <c r="M51" i="8"/>
  <c r="M49" i="8"/>
  <c r="M41" i="8"/>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2" i="2"/>
  <c r="W2" i="1"/>
  <c r="P592" i="2"/>
  <c r="N592" i="2"/>
  <c r="J592" i="2"/>
  <c r="G592" i="2"/>
  <c r="E592" i="2"/>
  <c r="D592" i="2"/>
  <c r="C592" i="2"/>
  <c r="B592" i="2"/>
  <c r="Y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2" i="2"/>
  <c r="F592" i="2"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<sst xmlns="http://schemas.openxmlformats.org/spreadsheetml/2006/main" count="13579" uniqueCount="3662">
  <si>
    <t>Date</t>
  </si>
  <si>
    <t>County</t>
  </si>
  <si>
    <t>Region</t>
  </si>
  <si>
    <t>Subregion</t>
  </si>
  <si>
    <t>School</t>
  </si>
  <si>
    <t>Please select your role</t>
  </si>
  <si>
    <t>What is your role/title?</t>
  </si>
  <si>
    <t>Which mode of data collection in Kobo did you use?</t>
  </si>
  <si>
    <t>Ranking</t>
  </si>
  <si>
    <t>How would you rate the overall data collection process?</t>
  </si>
  <si>
    <t>How would you rate the overall use of the tool?</t>
  </si>
  <si>
    <t>What went well?</t>
  </si>
  <si>
    <t>What could have been better?</t>
  </si>
  <si>
    <t>How can we improve?</t>
  </si>
  <si>
    <t>Any other notes or comments</t>
  </si>
  <si>
    <t>KIAMBU</t>
  </si>
  <si>
    <t>KIAMBU CENTRAL</t>
  </si>
  <si>
    <t>LIMURU 1</t>
  </si>
  <si>
    <t>NYATARAGI PRIMARY - 9be87a9e-1890-4d96-a065-46cd82ef5772</t>
  </si>
  <si>
    <t>SL/SC</t>
  </si>
  <si>
    <t>Online (Link)</t>
  </si>
  <si>
    <t>Good</t>
  </si>
  <si>
    <t>I was able to collect data on time so easily</t>
  </si>
  <si>
    <t>Getting the baseline population</t>
  </si>
  <si>
    <t>N.A</t>
  </si>
  <si>
    <t>KISUMU</t>
  </si>
  <si>
    <t>WESTERN - KISUMU</t>
  </si>
  <si>
    <t>ST. JOHN PAUL KUDHO PRIMARY, ECDE AND JUNIOR SECONDARY - 37f21ffd-63f8-4210-91d8-14b6618939e3</t>
  </si>
  <si>
    <t>Very Good</t>
  </si>
  <si>
    <t>It's very fast</t>
  </si>
  <si>
    <t>None</t>
  </si>
  <si>
    <t>We should be given enough time</t>
  </si>
  <si>
    <t>Good work</t>
  </si>
  <si>
    <t>KIAMBU WEST</t>
  </si>
  <si>
    <t>KIKUYU</t>
  </si>
  <si>
    <t>WAMBAA PRIMARY SCHOOL - 6eb9b529-26ed-4951-94ac-a0c02dc126b7</t>
  </si>
  <si>
    <t>Summation of the total students were done automatically</t>
  </si>
  <si>
    <t>The daily attendance report has been quite tricky to take since not all teachers are ready to cooperate.One day I went to get the attendance and was told attendance is same as yesterday yet the class had alot of empty seats.</t>
  </si>
  <si>
    <t>Simple totals section instead of the boys and girls totals.</t>
  </si>
  <si>
    <t>KIAMBU EAST</t>
  </si>
  <si>
    <t>KANGOYA PRIMARY AND JUNIOR SCHOOL - a38f6992-2295-4610-8322-a62a291c5917</t>
  </si>
  <si>
    <t>Great cooperation with the administration</t>
  </si>
  <si>
    <t>High rates of Abesentim really affects the accuracy of the data collected</t>
  </si>
  <si>
    <t>Good relations for accurate data with the administration</t>
  </si>
  <si>
    <t>GIKAMBURA PRIMARY AND JUNIOR SCHOOL - 59c577e8-b581-44c2-8469-8447a39563a5</t>
  </si>
  <si>
    <t>Offline (Used the app)</t>
  </si>
  <si>
    <t>Seamless navigation.</t>
  </si>
  <si>
    <t>GPS location was challenging.</t>
  </si>
  <si>
    <t>N/A</t>
  </si>
  <si>
    <t>KAJIADO</t>
  </si>
  <si>
    <t>NAIROBI WEST</t>
  </si>
  <si>
    <t>KAJIADO-LANGATA</t>
  </si>
  <si>
    <t>NGONG TOWNSHIP COMPREHENSIVE - f98dd2fc-dbd5-4861-a488-d913d4373c02</t>
  </si>
  <si>
    <t>Easier to use</t>
  </si>
  <si>
    <t>I like the layout.No suggestion</t>
  </si>
  <si>
    <t>All is well</t>
  </si>
  <si>
    <t>No comment</t>
  </si>
  <si>
    <t>RUIRU-JUJA</t>
  </si>
  <si>
    <t>ATHENA PRIMARY AND JUNIOR SECONDARY SCHOOL - 528d5744-6bda-428c-a146-97801509e900</t>
  </si>
  <si>
    <t>It's easy to use as I just key in the number of kids in every class and it calculate the overall population</t>
  </si>
  <si>
    <t>The app is friendly and easy to use</t>
  </si>
  <si>
    <t>It would be nice if we could receive airtime during the period of data collection and other assignments so as it can be efficient more</t>
  </si>
  <si>
    <t>KABETE</t>
  </si>
  <si>
    <t>RUKUBI COMPREHENSIVE SCHOOL - b5ae1034-a416-49b9-9c84-5d8a8e2907b3</t>
  </si>
  <si>
    <t>It was an easy task</t>
  </si>
  <si>
    <t>Everything was ok on my side</t>
  </si>
  <si>
    <t>Nothing so far</t>
  </si>
  <si>
    <t>RUIRU-GITHUNGURI</t>
  </si>
  <si>
    <t>ST. GEORGE'S COMPREHENSIVE SCHOOL - RUIRU - 685a09dc-9347-4783-9f6e-217f523e955c</t>
  </si>
  <si>
    <t>It was easy to use</t>
  </si>
  <si>
    <t>Ensure smooth transfer where when you send the data it doesn’t take you back to start afresh</t>
  </si>
  <si>
    <t>Ensure smooth running</t>
  </si>
  <si>
    <t>KAKAMEGA</t>
  </si>
  <si>
    <t>WESTERN - KAKAMEGA</t>
  </si>
  <si>
    <t>MWIYALA COMPREHENSIVE PRIMARY - 45fbb32c-9d08-47a1-be02-86fad952f6ba</t>
  </si>
  <si>
    <t>It's fast and more convenient</t>
  </si>
  <si>
    <t>Logging in sometimes is a problem</t>
  </si>
  <si>
    <t>Saving logging in details to avoid going through the whole process again when you want to feed in data</t>
  </si>
  <si>
    <t>THIGIO PRIMARY SCHOOL - c4a5a62d-cea9-4bc4-a00e-7d46afe11d41</t>
  </si>
  <si>
    <t>It's quite easy to maneuver. And one cannot loose data once you leave the site.</t>
  </si>
  <si>
    <t>I was unable to access the maps coordinates on my phone thus had to use the terminal</t>
  </si>
  <si>
    <t>NAIROBI</t>
  </si>
  <si>
    <t>NAIROBI EAST</t>
  </si>
  <si>
    <t>EMBAKASI</t>
  </si>
  <si>
    <t>NCC EMBAKASI COMPREHENSIVE SCHOOL - b172881a-b3d3-4145-8c08-7d9c50334de7</t>
  </si>
  <si>
    <t>The process of collecting was made easy because the documents were available</t>
  </si>
  <si>
    <t>Co ordination among teachers when collecting the registers</t>
  </si>
  <si>
    <t>Easy acquiring  of the registers,</t>
  </si>
  <si>
    <t>OLOOLUA COMPREHENSIVE SCHOOL - 1f13a6ea-cdca-4150-95ce-f59e3734df46</t>
  </si>
  <si>
    <t>Comparing the total daily attendance and the total meals served daily as it is crucial to find the percentage of feeding kids.</t>
  </si>
  <si>
    <t>Collection of daily school attendance is challenging as some teachers don't update their registers daily.</t>
  </si>
  <si>
    <t>All is good.</t>
  </si>
  <si>
    <t>None.</t>
  </si>
  <si>
    <t>NAIROBI SOUTH PRIMARY - ec26124e-e324-48c0-a811-ed306d0aa4fe</t>
  </si>
  <si>
    <t>Everything went on well without any hitches experienced.</t>
  </si>
  <si>
    <t>KASARANI</t>
  </si>
  <si>
    <t>TOM MBOYA PRIMARY AND JUNIOR SECONDRAY SCHOOL - 9b5b7024-b8e4-4b4b-b368-f06aabd56727</t>
  </si>
  <si>
    <t>Thwe option for entering just the total beside per class population</t>
  </si>
  <si>
    <t>Excluding the baseline population</t>
  </si>
  <si>
    <t>Exclude the baseline population</t>
  </si>
  <si>
    <t>So far so good</t>
  </si>
  <si>
    <t>ST. FRANCIS MUGAI COMPREHENSIVE PRIMARY - 3ce53765-0450-4643-bd02-269a731cb199</t>
  </si>
  <si>
    <t>The app was really efficient</t>
  </si>
  <si>
    <t>Collecting the registers, some teachers took long to submit</t>
  </si>
  <si>
    <t>An official document highlighting why we need the register could help speed up the process</t>
  </si>
  <si>
    <t>GITHUNGURI 1</t>
  </si>
  <si>
    <t>GATHAITHI SECONDARY SCHOOL - 255cffef-41e6-4022-a3fa-de2fbe03ca3d</t>
  </si>
  <si>
    <t>Highschool Tapper</t>
  </si>
  <si>
    <t>I was enable to notice the overall school attendance per day</t>
  </si>
  <si>
    <t>If the population was more</t>
  </si>
  <si>
    <t>Create a site where we could get the percentage of attending students over the school's total population</t>
  </si>
  <si>
    <t>MOMBASA</t>
  </si>
  <si>
    <t>COAST</t>
  </si>
  <si>
    <t>NYALI - MOMBASA</t>
  </si>
  <si>
    <t>BEDZIMBA COMPREHENSIVE SCHOOL - 41ba099b-2ca5-4603-b61f-e128fd0adaa4</t>
  </si>
  <si>
    <t>Data was captured fast, but it would save time and accuracy if most of the parts were put in the same page i.e categorised into ECD, primary and junior school.</t>
  </si>
  <si>
    <t>A fewer pages would be great</t>
  </si>
  <si>
    <t>Compile the pages to make them a few ,like ECD pages, primary page,and jss page.</t>
  </si>
  <si>
    <t>All went well ✅👏🏿</t>
  </si>
  <si>
    <t>P.C.E.A MAMA NGINA KENYATTA COMPREHENSIVE - 3b4154e1-4c19-449e-adbe-a0fb51714f9d</t>
  </si>
  <si>
    <t>That's a good tracking of the feeding growth</t>
  </si>
  <si>
    <t>For me the head of institution declined to give me population thus requesting for a better communication with the head of institution for a professional documents to support the population collection</t>
  </si>
  <si>
    <t>In the schools that are declining to give the population then there should be a more conquering documents to request for a population</t>
  </si>
  <si>
    <t>No</t>
  </si>
  <si>
    <t>KONGOWEA PRIMARY SCHOOL - e180a289-0e43-4117-b925-e9a571ec3723</t>
  </si>
  <si>
    <t>It was so accurate.</t>
  </si>
  <si>
    <t>Apart from it being efficient and fast ... I don't see any change that will make it more better than it is at the moment.</t>
  </si>
  <si>
    <t>Everything is top-notch.. thank you team.</t>
  </si>
  <si>
    <t>MTOPANGA COMPREHENSIVE SCHOOL - a30e43e4-ec3e-4e0c-a53c-1b37ae9635c1</t>
  </si>
  <si>
    <t>Everything went well,the application is user friendly and the fact that you can save the data and edit before submitting that helps us so much</t>
  </si>
  <si>
    <t>Every thing was better on my side</t>
  </si>
  <si>
    <t>CHELETA PRIMARY SCHOOL - a68bf13e-0d4c-4027-80ef-d68df2e5fddb</t>
  </si>
  <si>
    <t>At some point i could, my school location was not picking the latitude .the location pick up was the major hinderance</t>
  </si>
  <si>
    <t>App is clear and to the point</t>
  </si>
  <si>
    <t>Enhance quick access for location.</t>
  </si>
  <si>
    <t>Good collection tool.</t>
  </si>
  <si>
    <t>KIBRA-WESTLANDS</t>
  </si>
  <si>
    <t>ARYA PRIMARY SCHOOL - 1237de6d-87e5-4684-826d-c39a62256eb2</t>
  </si>
  <si>
    <t>The process was easy by the help of the kopo data collection tool, it was easy because after getting the data from the admin, I was only feeding it to the tool.</t>
  </si>
  <si>
    <t>Maybe next time you give us more time because, sometimes after collecting data you find that there are other students who wants to be admitted in school. Maybe next time we should submit data after midterm</t>
  </si>
  <si>
    <t>Add more time to the data collection exercise</t>
  </si>
  <si>
    <t>It was a smooth exercise</t>
  </si>
  <si>
    <t>AZHAR SHARRIF COMPREHENSIVE SCHOOL - 5120ef21-54c3-4761-9f55-6de14fc8afae</t>
  </si>
  <si>
    <t>the whole process went well</t>
  </si>
  <si>
    <t>Scale fusion is preventing the use of Kobocollect</t>
  </si>
  <si>
    <t>GOME - MOMBASA</t>
  </si>
  <si>
    <t>LONGO PRIMARY SCHOOL - d1229365-3e34-4c2f-b6e4-4a16f1bac01a</t>
  </si>
  <si>
    <t>Teachers cooperation was of top notch</t>
  </si>
  <si>
    <t>The app had problem in submitting the data</t>
  </si>
  <si>
    <t>Make it better</t>
  </si>
  <si>
    <t>BUNGOMA</t>
  </si>
  <si>
    <t>WESTERN - BUNGOMA</t>
  </si>
  <si>
    <t>SIRITANYI RC COMPREHENSIVE SCHOOL - 5e64ac8f-8770-4ec5-ad3c-c2e5d31034cb</t>
  </si>
  <si>
    <t>This round it was sufficient, no more searching errors unlike the one we used in first term</t>
  </si>
  <si>
    <t>Transfers of kids, coming in and some some getting to other schools</t>
  </si>
  <si>
    <t>It should capture longitude anywhere,as long as you are in school compound not necessarily at the gate.</t>
  </si>
  <si>
    <t>NGURIUNDITU PRIMARY AND JUNIOR SCHOOL - 7b6eadba-2868-4967-911b-f7b6e46beba2</t>
  </si>
  <si>
    <t>Mine was fast.although I haven't tried doing it offline.</t>
  </si>
  <si>
    <t>It would be better if you asked us the overall number instead of ' number of boys and girls per class'.</t>
  </si>
  <si>
    <t>Already said in the previous question.</t>
  </si>
  <si>
    <t>Collecting the data daily is not working since we are being asked too much questions and it's becoming hectic , I propose we collect data may be once per month .</t>
  </si>
  <si>
    <t>MAWENI PRIMARY SCHOOL - df2872ff-b971-48a6-839c-32640be62ebc</t>
  </si>
  <si>
    <t>It was easy.the location was easy to allocate.</t>
  </si>
  <si>
    <t>All was well</t>
  </si>
  <si>
    <t>It easy to operate and easy to understand</t>
  </si>
  <si>
    <t>TIEKUNU PRIMARY SCHOOL - 29cf51a0-aa46-4ed4-9c19-2014964f3670</t>
  </si>
  <si>
    <t>Automatic calculation of numbers.easy to use both online and offline.saves unsent data in drafts to load later.</t>
  </si>
  <si>
    <t>Using offline maps since no easy offline from exact location</t>
  </si>
  <si>
    <t>So far so good,its easy to use</t>
  </si>
  <si>
    <t>KIBOS PRISON COMPREHENSIVE SCHOOL - 1ef6ff1c-475d-48d8-8a39-ca531bcc5ad9</t>
  </si>
  <si>
    <t>The Kobo app is faster and easier to use since you can still save your work as draft and come back to continue.</t>
  </si>
  <si>
    <t>Improve on location pick up the app was a bit slower on picking the GPS.</t>
  </si>
  <si>
    <t>No recommendations for now.</t>
  </si>
  <si>
    <t>Collection of data has been made more easier compared to previous times were we had to take pictures from registers and scan then send.</t>
  </si>
  <si>
    <t>KISAUNI PRIMARY SCHOOL - 25ff122b-b892-4904-8b7c-cb9d74a7e1a0</t>
  </si>
  <si>
    <t>Easy to use</t>
  </si>
  <si>
    <t>Accessibility was a bit hard at first.</t>
  </si>
  <si>
    <t>GITHUNGURI 2</t>
  </si>
  <si>
    <t>KAMONDO PRIMARY AND JUNIOR SCHOOL - 085e4d09-08f2-4ee0-bb02-19a68da34b17</t>
  </si>
  <si>
    <t>The link is easier to use compared to the app. It provides a more direct process, as users can submit the form immediately after completing the required fields, without having to save it first before sending.</t>
  </si>
  <si>
    <t>No.</t>
  </si>
  <si>
    <t>The exercise was easy by the help of the kopo tool.</t>
  </si>
  <si>
    <t>It could be even better if u extended the data collection exercise to after midterm so as to capture all the students, some get admitted late</t>
  </si>
  <si>
    <t>Add more time to the exercise</t>
  </si>
  <si>
    <t>It was a smooth process</t>
  </si>
  <si>
    <t>DANDORA 1 PRIMARY AND JUNIOR SCHOOL - b9f3d61b-d58d-4d64-ac42-3db4d66eb585</t>
  </si>
  <si>
    <t>Poor</t>
  </si>
  <si>
    <t>I was able to feed all the population data.</t>
  </si>
  <si>
    <t>I worked with the kobo app at first, after filling all the detailsand tried to submit, I got an error saying form is not active. Getting school GPS wasn't easier despite the fact that I was standing right at the school gate, I'm not even sure if the coordinates sent were accurate. After resorting to the online form, the major challenge was that I couldn't see what I was selecting as region, subregion and school, it's best if the wording appear clearly, not just some random circles.</t>
  </si>
  <si>
    <t>When you update the population collection tool on the app, please do us the courtesy of informing us so we can update as required. On the attachment, allow inclusion of more than 1 file type as well as multiple files, I didn't attach the evidence given by the ECDE Manager because there was no way to add it. In the list of source of information, you left out the ECDE manager, yet they are crucial in information provision, again, allow us to choose more than 1 source of information. I personally feel the GPS locator is so restricting, allow us to click and pick from the map if the auto detection feature fails.</t>
  </si>
  <si>
    <t>I have nothing more to share</t>
  </si>
  <si>
    <t>MUTHANGARI PRIMARY SCHOOL - 04c27057-afdb-4450-995b-a56cdc08cf0e</t>
  </si>
  <si>
    <t>Population data collection was completed successfully within the set timeline. The Kobo tool was easy to use and navigate. Data submission was smooth with minimal technical challenges. Support from the team was readily available when needed.</t>
  </si>
  <si>
    <t>Intermittent internet connectivity affected synchronization in some instances. Some respondents required additional clarification on the data collection requirements. A few delays were experienced during data verification.</t>
  </si>
  <si>
    <t>Provide refresher training before future data collection exercises. Improve communication on timelines and expectations. Enhance offline functionality and synchronization speed. Share clear data collection guidelines in advance.</t>
  </si>
  <si>
    <t>Thank you for the support throughout the exercise. The process was well coordinated and provided valuable learning opportunities for future data collection activities.</t>
  </si>
  <si>
    <t>DAGORETTI-WESTLANDS</t>
  </si>
  <si>
    <t>GITIBA PRIMARY AND E.C.D.E SCHOOL - 63d5639a-94a6-43c3-b1a5-b1fef2de82f3</t>
  </si>
  <si>
    <t>The school administration was very supportive in sharing the population data.</t>
  </si>
  <si>
    <t>Kindly provide a letter or document indicating that the request is from Food for Education. This makes it easier when presenting it to the school administration, as they will clearly understand that it is an official request from F4E.</t>
  </si>
  <si>
    <t>DANDORA DAY NURSERY - b1a11aad-0e1f-4c36-ab8d-7efe5c3a3c67</t>
  </si>
  <si>
    <t>My school being ECDE it's easy to identify who is not feeding and who is</t>
  </si>
  <si>
    <t>Show data for failed taps</t>
  </si>
  <si>
    <t>MATHANJA PRIMARY SCHOOL - 8e59cca9-4a08-409f-8f9d-86bcf0cf8b40</t>
  </si>
  <si>
    <t>The fact that the totals were calculated easily</t>
  </si>
  <si>
    <t>Baseline population not all schools keep the records</t>
  </si>
  <si>
    <t>Avoid boys and girls total instead we write the total per class</t>
  </si>
  <si>
    <t>KIBUYE MIXED PRIMARY SCHOOL - ce37a0bd-570c-4b7d-b9a8-b440f064790e</t>
  </si>
  <si>
    <t>Collecting data per class</t>
  </si>
  <si>
    <t>To improve on efficiency of online link. Sometimes it's abit slow.</t>
  </si>
  <si>
    <t>To allow app to work offline</t>
  </si>
  <si>
    <t>I appreciate the app it more efficient than link.</t>
  </si>
  <si>
    <t>LOWER KABETE PRIMARY SCHOOL - 62a2829a-329f-4f94-8e67-01b54f86ce4d</t>
  </si>
  <si>
    <t>Details of the population data that's needed</t>
  </si>
  <si>
    <t>Gps data collection; my phone has never got it  ,so I do guess, I'd suggest this section should be optional</t>
  </si>
  <si>
    <t>Please let the gps data be optional and no a must</t>
  </si>
  <si>
    <t>Thank you</t>
  </si>
  <si>
    <t>MUGUMO DAY NURSERY - 98bd288a-da9c-47b8-be0a-4f76136cc3dd</t>
  </si>
  <si>
    <t>The menu of cowpeas was well received. The parents are very supportive with the insufficient accounts being top up after following up the parents.</t>
  </si>
  <si>
    <t>The organization is working well from my end with great support from the PDA , KITCHEN MANAGER and the staff.</t>
  </si>
  <si>
    <t>I will really be greatful if I can get a server.</t>
  </si>
  <si>
    <t>The number of kids have stabilized.</t>
  </si>
  <si>
    <t>MATENDE CG PRIMARY - 8363c6a5-15d9-41e9-be69-fec9a147a440</t>
  </si>
  <si>
    <t>The application is user friendly therefore making Data submission easy.</t>
  </si>
  <si>
    <t>TING'ANG'A H.G.M PRIMARY SCHOOL - 3a460c1d-a26e-44cd-9e02-c39c88d0e2fc</t>
  </si>
  <si>
    <t>The link was was easy to use and input the data</t>
  </si>
  <si>
    <t>Nothing for now</t>
  </si>
  <si>
    <t>ST. PETER'S NDENGELWA RC PRIMARY AND JUNIOR SCHOOL - 267c6dc4-9120-4daf-8ca6-5563a408a16c</t>
  </si>
  <si>
    <t>Easy to use. Data accessible if paused filling and needed to continue later</t>
  </si>
  <si>
    <t>One time password and url. After logging in details,the app should be leading you direct to the data and not key in url all the time</t>
  </si>
  <si>
    <t>Accessing the tool with the work email and password could be easier and convenient</t>
  </si>
  <si>
    <t>KWA BULLO PRIMARY SCHOOL - 62e8d2ad-c82b-4248-a5ba-7541ebae5d6f</t>
  </si>
  <si>
    <t>The Kobo app is fast and easy for someone to understand. The collection grew a great impact to understand the feeding pattern of the kids.</t>
  </si>
  <si>
    <t>The data it's not accurate some kids are out while collecting and some teachers they don't allow you in even if they know about the data Daly collection.</t>
  </si>
  <si>
    <t>The collection to be done fast week of the month and last week of the month.</t>
  </si>
  <si>
    <t>KASSAGAM PRIMARY, ECDE AND JUNIOR SCHOOL - c80a4eb5-ba11-49f8-9510-d8c7adecd9fc</t>
  </si>
  <si>
    <t>The process was smooth.it was well simplified</t>
  </si>
  <si>
    <t>Sometimes it's had to do a headcount in classes during lessons time.it interferes with the teaching programme</t>
  </si>
  <si>
    <t>I prefer the use of our population headcount data because it's always accurate as compared to the one given by the school administration</t>
  </si>
  <si>
    <t>GATONGORA COMPREHENSIVE SCHOOL - ce1d7f21-116d-4ba6-b939-4c15736cf796</t>
  </si>
  <si>
    <t>The population collection tool is simplified. It is easy.</t>
  </si>
  <si>
    <t>Allowing us to edit out mistakes even after saving the data.</t>
  </si>
  <si>
    <t>LUSIGETTI PRIMARY AND JUNIOR SCHOOL - 89ca0591-6262-4413-977c-9d4c16b4be4a</t>
  </si>
  <si>
    <t>It is capturing data well.</t>
  </si>
  <si>
    <t>It's working well.</t>
  </si>
  <si>
    <t>It's good mode of data collection.</t>
  </si>
  <si>
    <t>ST. BASIL LURAMBI COMPREHENSIVE PRIMARY - a2644290-f83b-4450-884e-10731edde100</t>
  </si>
  <si>
    <t>The Kobo connect app is very effective, collection and sending of the data was very very easy.I didn't encounter any challenges.</t>
  </si>
  <si>
    <t>I feel like since we already filled the base year population,there is no urgency of redoing it over and again.It is hard accessing this record from the school administration.</t>
  </si>
  <si>
    <t>I feel like the app is ok, continue with the nice work honestly.I am satisfied with it.</t>
  </si>
  <si>
    <t>I am more than pleased with the app,it is effective and simple to share the data.</t>
  </si>
  <si>
    <t>LANG'ATA POLICE ECDE CENTRE - 8b07040e-44d5-41a6-a8dc-66644ef9c9d4</t>
  </si>
  <si>
    <t>The tool was user friendly,easy to navigate and enabled efficient data collection.</t>
  </si>
  <si>
    <t>I did not encounter any challenges.</t>
  </si>
  <si>
    <t>The interface could be made more intuitive for first time users.</t>
  </si>
  <si>
    <t>THIKA PRIMARY SCHOOL - 92b0f217-aded-4f04-82a5-cb1d1724d1c7</t>
  </si>
  <si>
    <t>The easy filling of data in kobo</t>
  </si>
  <si>
    <t>Honestly,the tool is vvery okay</t>
  </si>
  <si>
    <t>Give more training on using the same</t>
  </si>
  <si>
    <t>N/a</t>
  </si>
  <si>
    <t>FGCK DAISY SPECIAL PRIMARY - 9ffe9b9a-cae2-4c4d-abc3-a99d66e396ad</t>
  </si>
  <si>
    <t>Swift step by step process with user friendly interface and features.</t>
  </si>
  <si>
    <t>The process is swift</t>
  </si>
  <si>
    <t>Check on the upload process since my side can be submitted successfully yet on your end you don't have the data.</t>
  </si>
  <si>
    <t>Let's feed the future.</t>
  </si>
  <si>
    <t>KIAWAIGURU PRIMARY SCHOOL - 8e230686-f774-49dc-85c4-124dd8f05a42</t>
  </si>
  <si>
    <t>It’s fast</t>
  </si>
  <si>
    <t>The part of collecting the location was slow</t>
  </si>
  <si>
    <t>Maybe change or remove the whole last part of asking the school location I found to be so slow yet I was outside and near the school gate I had to try like 3 different times</t>
  </si>
  <si>
    <t>AMALEMBA PRIMARY SCHOOL - 0536aa10-96d2-40d3-86dc-a5bbeade6fb1</t>
  </si>
  <si>
    <t>Auto save prevented data loss. The tool was user friendly. Data entry was fast and friendly.</t>
  </si>
  <si>
    <t>Personally I did not experience any challenge with the the app,once I entered my username and password everything went smoothly</t>
  </si>
  <si>
    <t>Inform the admin first before we go ahead collecting the data</t>
  </si>
  <si>
    <t>Our supervisor gave us a good demo on how to use the app and everyone completed the exercise</t>
  </si>
  <si>
    <t>KHADIJA PRIMARY SCHOOL - 279e0d3e-60e5-45c3-bdf0-504504e5c645</t>
  </si>
  <si>
    <t>Easier user interface and also you key in data with ease no repetitions</t>
  </si>
  <si>
    <t>Gps location to be obtained from anywhere within the school environment rather than going back to the entrance gate to capture it</t>
  </si>
  <si>
    <t>Improvements on when you have submitted the data if there can be away or a section where one can view the data he or she shared</t>
  </si>
  <si>
    <t>No comments</t>
  </si>
  <si>
    <t>FRERETOWN PRIMARY SCHOOL - 9aebd625-ef29-4732-acbc-8221383ae93c</t>
  </si>
  <si>
    <t>Everything</t>
  </si>
  <si>
    <t>Nothing</t>
  </si>
  <si>
    <t>Satisfactory, no improvement needed.</t>
  </si>
  <si>
    <t>If the baseline population data is available in the F4E servers kindly avail it for me. The school administration here does not have have such data available in their records.</t>
  </si>
  <si>
    <t>MACIRI COMPREHENSIVE SCHOOL - 848ba45a-fce6-4ef3-84dc-e64d24fa5998</t>
  </si>
  <si>
    <t>The link was easy to use unlike the app completely failed to upload</t>
  </si>
  <si>
    <t>The app;Having used the app before I prefer the app for me I find it easier and faster to use</t>
  </si>
  <si>
    <t>Overall it's a great and easy to use</t>
  </si>
  <si>
    <t>EASTLEIGH-STAREHE</t>
  </si>
  <si>
    <t>NEW PUMWANI PRIMARY - 19015848-50bb-4ded-ba86-f26afdb223d9</t>
  </si>
  <si>
    <t>It was simple and efficient</t>
  </si>
  <si>
    <t>If a second attempt is made at submission of the data, the link should inform you that data is submitted and ask if one would like to make changes to the submitted data.</t>
  </si>
  <si>
    <t>When submitting data, the link should you to a new page showing the data has been successfully submitted. The page just refreshed itself on clicking submit and I found myself having to fill the form again</t>
  </si>
  <si>
    <t>SIMBA DAY NURSERY - 0fd12f5c-0237-4625-b1a6-42f6a8965e23</t>
  </si>
  <si>
    <t>The administration trusted me with their records.</t>
  </si>
  <si>
    <t>More time to convince the administration that our intentions are right with their records.</t>
  </si>
  <si>
    <t>When discrepancies exits,bear with us and enough time to do the whole process again.</t>
  </si>
  <si>
    <t>It was a good exercise,I am able to know the number of learners not feeding and get the reason behind their action.</t>
  </si>
  <si>
    <t>KABETE VETLAB COMPREHENSIVE SCHOOL - 1480b05f-22e8-4e16-8cf2-e7cc230f5fff</t>
  </si>
  <si>
    <t>It was so easy to navigate</t>
  </si>
  <si>
    <t>NA</t>
  </si>
  <si>
    <t>EBUNG'AYA COMPREHENSIVE PRIMARY - 60fee840-85f3-42a8-946a-aabaedb81037</t>
  </si>
  <si>
    <t>The headteacher gave me information on timeon time</t>
  </si>
  <si>
    <t>The app was not responding but called my PDA for assistance.</t>
  </si>
  <si>
    <t>Before we take school population for the next term let the system be automatically updated that's for kobo tool</t>
  </si>
  <si>
    <t>The process was good and kobo as a tool has make work easier at my end because it has break downs of school population per grade hence giving me upper hand to know I'm feeding these number in a certain grade and the population is these</t>
  </si>
  <si>
    <t>GATAARA COMPREHENSIVE SCHOOL - bb4c9222-1a64-49fd-9d5d-ef10daf2247a</t>
  </si>
  <si>
    <t>I contacted head count personally from grade to another and the exercise was awesome coz I interacted one on one with the learners and class teacher this got accurate numbers</t>
  </si>
  <si>
    <t>The exercise kind of caused interruption class timetable coz mostly i contacted the count during class time but wit he help of class teacher</t>
  </si>
  <si>
    <t>Introduce a edit option on the app in case of an error</t>
  </si>
  <si>
    <t>this process  has exposed a giant growth in the school which has been brought up by food for education foundation</t>
  </si>
  <si>
    <t>BENSON NJAU PRIMARY SCHOOL - 57ddadd6-3534-48cb-97a0-460a306e9dbc</t>
  </si>
  <si>
    <t>I was given all the details required so it was easy to answer the questions.</t>
  </si>
  <si>
    <t>The type of questions asked.</t>
  </si>
  <si>
    <t>Maybe next time let it have specific questions like if it is a primary school let it not have questions that belongs to secondary schools.</t>
  </si>
  <si>
    <t>No other comment.</t>
  </si>
  <si>
    <t>KIBOKO COMPREHENSIVE SCHOOL - 813e4df8-845c-4408-8f3e-a4e40c132c14</t>
  </si>
  <si>
    <t>Hoi is very supportive whenever I go to collect population data.The data is precise ,correct and is given on time whenever she's there.</t>
  </si>
  <si>
    <t>My biggest challenge is when the HOI is not in  and the data has to be collected that day,the teacher some times are so relantant and I have to keep checking if they have given their numbers.</t>
  </si>
  <si>
    <t>So far I haven't had any major challenge that I can't handle so we are okay .</t>
  </si>
  <si>
    <t>Some times I have issues with Kobo the last part where we have to get gps ,it keeps loading for long, what can do about it.</t>
  </si>
  <si>
    <t>GENERAL KAGO PRIMARY AND JUNIOR SECONDARY - 7184e041-0ae2-4365-898f-3e10451573d4</t>
  </si>
  <si>
    <t>The Deputy Head Teacher had collected and documented the school population before hand so feeling the data was very easy.</t>
  </si>
  <si>
    <t>The location part when using the link needs improvement because mine refused to fetch the coordinates.</t>
  </si>
  <si>
    <t>Give bundles because the task uses a lot.</t>
  </si>
  <si>
    <t>RWAMBURI PRIMARY SCHOOL - 26bb7503-e4df-4a89-8f88-86013188d4bf</t>
  </si>
  <si>
    <t>The app is easier to access and it is well arranged in any way you used to collect the population.</t>
  </si>
  <si>
    <t>I didn't see any problem with the tool.</t>
  </si>
  <si>
    <t>I didn't experience any issue while collecting data.</t>
  </si>
  <si>
    <t>MLALEO PRIMARY SCHOOL - 146f7719-5ff4-4751-b064-1637e1ae5b95</t>
  </si>
  <si>
    <t>Coordinates were well captured.</t>
  </si>
  <si>
    <t>In future while onboarding new schools, baseline population should be captured by us/organisation. This will save us from depending on administration for the information in which by the time it may not exist due to various factors</t>
  </si>
  <si>
    <t>Have none for now</t>
  </si>
  <si>
    <t>The work was done accordingly.</t>
  </si>
  <si>
    <t>MARABA MUNICIPALITY PRIMARY - f875ffbb-84da-4119-b317-f23c7a005a1e</t>
  </si>
  <si>
    <t>The deputy headteacher helped me in collecting the data</t>
  </si>
  <si>
    <t>The school admin, and the teachers feel interrupted during their lessons</t>
  </si>
  <si>
    <t>Let the process not demand  a lot of documents e.g registers, the admin is not willing to give us access to them</t>
  </si>
  <si>
    <t>So far so good,the program is running well</t>
  </si>
  <si>
    <t>MBAGATHI ROAD PRIMARY AND JUNIOR SECONDARY SCHOOL - 80c0c466-3f2e-4f1a-9a55-7a5ebc401450</t>
  </si>
  <si>
    <t>The operation was very smooth</t>
  </si>
  <si>
    <t>Have the lasted data</t>
  </si>
  <si>
    <t>Talk to the HOI to always have updated list</t>
  </si>
  <si>
    <t>KABIRIA ROAD PRIMARY AND JUNIOR SECONDARY SCHOOL - 7b15dc57-2172-4a30-8f25-645dfa782557</t>
  </si>
  <si>
    <t>Efficiency and accuracy when collecting data</t>
  </si>
  <si>
    <t>For me it's good and easy to use</t>
  </si>
  <si>
    <t>Non</t>
  </si>
  <si>
    <t>ST. ELIZABETH MUYAYI R.C - 97218157-c648-4885-bd79-3e4072f33f55</t>
  </si>
  <si>
    <t>I gives you an opportunity  to preview the data before sending</t>
  </si>
  <si>
    <t>The app is okay</t>
  </si>
  <si>
    <t>P.C.E.A GATHAITHI AND JUNIOR SECONDARY SCHOOL - 80e831f8-25c3-4568-827b-fae0d0a990e0</t>
  </si>
  <si>
    <t>Kobo is user friendly. It is easy to work with.</t>
  </si>
  <si>
    <t>I had saved my data as draft but when I tried to find it, I couldn't access it. I ended up re- filling the data.</t>
  </si>
  <si>
    <t>Since kobo is user friendly, I am okay with it.</t>
  </si>
  <si>
    <t>ST. JOHN BOSCO PRIMARY - 2a7ffb15-e4e4-416d-bc2f-892f3899cce3</t>
  </si>
  <si>
    <t>Data collection process was clear.Tool was easy to use.</t>
  </si>
  <si>
    <t>Allow overall population count per class instead of separating boys and girls it consume alot of time .</t>
  </si>
  <si>
    <t>Allow us to do an overall class count instead of separating boys and girls. It will save time and reduce errors</t>
  </si>
  <si>
    <t>GATUURA PRIMARY SCHOOL - b3b8358d-c99c-4d7d-91cb-69a1ab6cbe22</t>
  </si>
  <si>
    <t>Less typing,I.e it only involves inputting figures rather than typing,making it efficient.</t>
  </si>
  <si>
    <t>It was sluggish during uploading. There was a queue ,hence one is not sure whether their work is uploaded or not.</t>
  </si>
  <si>
    <t>Kindly let the response be prompt. To be sure the uploading is correct.</t>
  </si>
  <si>
    <t>GIKANG'A KAGECHE SECONDARY SCHOOL - bc9c77c7-6fd3-4f2d-a377-a2c217898f85</t>
  </si>
  <si>
    <t>Number of students feeding remaining constant .</t>
  </si>
  <si>
    <t>Number of manual deduction still high (kids forgetting tags at home and parents refusing to top up for replacement).High failed taps due vulnerability</t>
  </si>
  <si>
    <t>Sponsorship-introduce Sponsorship to high-school students .Bring fruits to student to make their feeding great</t>
  </si>
  <si>
    <t>PENTROSE COMMUNITY PRIMARY SCHOOL - 2a0f7ebd-98a8-4970-a9ee-7d057596a90f</t>
  </si>
  <si>
    <t>There was unwaivering support and cooperation from the admin who provided me with the required accurate data.</t>
  </si>
  <si>
    <t>For the online link, it was taking too long to respond.</t>
  </si>
  <si>
    <t>Nothing. Everything was smooth and effective</t>
  </si>
  <si>
    <t>Both the app and online link are user-friendly which made the data collection process simple and effecient.</t>
  </si>
  <si>
    <t>MUGUMOINI COMPREHENSIVE SCHOOL - 58e9a811-3045-4119-b9aa-0940449aa195</t>
  </si>
  <si>
    <t>I appreciated being able to see the data before submitting. I liked how the steps were clear and in flow.</t>
  </si>
  <si>
    <t>For source of information, I would prefer being able to choose multiple sources</t>
  </si>
  <si>
    <t>We would appreciate data</t>
  </si>
  <si>
    <t>BAMBURI PRIMARY SCHOOL - b5ebc6fd-b7b9-42ae-92aa-9e4342282304</t>
  </si>
  <si>
    <t>It was the best method of data collection. It was the easiest method of data collection.</t>
  </si>
  <si>
    <t>Some of the admins didn't have baseline populations so it finds hard to get the baseline population. Some of the admins were busy so you have to be patient for a long time so that you can acquire the data.</t>
  </si>
  <si>
    <t>Give more time during search an exercise. Improve on the tool so that during the log in it should be easier rather than authaendicating everytime.e</t>
  </si>
  <si>
    <t>When improved on the tool is the most accurate tool i have ever used.</t>
  </si>
  <si>
    <t>MWIHOKO COMPREHENSIVE SCHOOL - aea639a8-375f-4096-954d-9948d96597a1</t>
  </si>
  <si>
    <t>Easy to use and understand</t>
  </si>
  <si>
    <t>Some schools do not have the baseline date but each time we take the population it still appears</t>
  </si>
  <si>
    <t>On my part the app was easy to use and made the exercise manageable</t>
  </si>
  <si>
    <t>ACK RIABAI PRIMARY SCHOOL - b9207d35-fbf7-45ba-ad59-b07aef5c8303</t>
  </si>
  <si>
    <t>It was easily accessible. It stored data well without having to retype again.</t>
  </si>
  <si>
    <t>I didn't face any challenge with the online link.</t>
  </si>
  <si>
    <t>ELUKHO PRIMARY SCHOOL - 1df3495b-40e1-4ae5-93bf-6e5f5c6581b1</t>
  </si>
  <si>
    <t>When i went to School Admin (HOI) he cooperated and he asked senior teacher to take class registers and hand over the data in the registers.</t>
  </si>
  <si>
    <t>Timeline, when i say about timeline it means you gave a short period to collect the data like you find that senior teacher has classes to attend to then taking those registers from every teacher and it needs time so that we don't interfere with her lessons.</t>
  </si>
  <si>
    <t>Atleast you should be specific on matters of time atleast give allowance or give more time like two weeks.</t>
  </si>
  <si>
    <t>Then when it comes to the app atleast it should showing notification it requires update some core workers went though hard time .thank</t>
  </si>
  <si>
    <t>EDELVALE PRIMARY SCHOOL - 6d2b5efb-5470-4f4d-80dc-0aa214842d8a</t>
  </si>
  <si>
    <t>Everything was good.</t>
  </si>
  <si>
    <t>It's okay.</t>
  </si>
  <si>
    <t>THINDIGUA PRIMARY SCHOOL - c83e3fb4-18ce-4e01-9a88-951ddecf305b</t>
  </si>
  <si>
    <t>Accessibility</t>
  </si>
  <si>
    <t>Working on the kobo app for data collection</t>
  </si>
  <si>
    <t>Improve on the kobo app accessibility and effectiveness</t>
  </si>
  <si>
    <t>SHADRACK KIMALEL PRIMARY AND JUNIOR SCHOOL - e692a456-d8b0-4076-b3c9-81c8c7362829</t>
  </si>
  <si>
    <t>What went well is that i can use the app when im offline because not all the times i have data.its fast.Its easier to use it.</t>
  </si>
  <si>
    <t>TUMAINI PRIMARY AND JUNIOR SCHOOL - 322ca8c3-b579-4dd8-a7ab-347b79f078ef</t>
  </si>
  <si>
    <t>Everything was smooth. I liked the fact that the progress is saved so you don't have to start afresh incase I exit abruptly.</t>
  </si>
  <si>
    <t>I don't think any improvement is needed.</t>
  </si>
  <si>
    <t>AGA KHAN PRIMARY SCHOOL - 8d19c9c9-e128-43de-9326-d93b09541029</t>
  </si>
  <si>
    <t>Well documented</t>
  </si>
  <si>
    <t>Some few challenges when it came to uploading of documents</t>
  </si>
  <si>
    <t>can improve on the process especially uploading of documents</t>
  </si>
  <si>
    <t>RAILA EDUCATIONAL CENTRE - 041937fb-b654-4989-ab59-2946a06d765f</t>
  </si>
  <si>
    <t>The whole process was easy to understand and fill in.</t>
  </si>
  <si>
    <t>Do away with the school coordinates. May it apply only on a new school that is beginning the program. Can include a section where buy we do a survey on how many students at school level are registered under the program.</t>
  </si>
  <si>
    <t>I was suggesting that moving forward that under the baseline population of a school you indicated for us the number.  That is the previous term population to help us compare the previous term and the current term.</t>
  </si>
  <si>
    <t>P.C.E.A THOGOTO PRIMARY AND JUNIOR SCHOOL - 5bab24d1-83ae-4a1e-8eb8-92b147a335b5</t>
  </si>
  <si>
    <t>The form was user friendly. It guided.</t>
  </si>
  <si>
    <t>Nothing yet</t>
  </si>
  <si>
    <t>HURUMA PRIMARY AND JUNIOR SECONDARY SCHOOL - b7140302-0102-4383-811e-a3cac7534323</t>
  </si>
  <si>
    <t>It's very fast and accurate . very easy to use</t>
  </si>
  <si>
    <t>It took a little longer when collecting the longitudes and latitudes</t>
  </si>
  <si>
    <t>May be next time we take the longitudes and latitudes from from the shades</t>
  </si>
  <si>
    <t>It's accuracy is top notch</t>
  </si>
  <si>
    <t>MILIMANI SCHOOL PRIMARY AND JUNIOR SECONDARY SCHOOL - 00f7fc9d-5709-4df2-a2d9-fba683cee2ad</t>
  </si>
  <si>
    <t>The link is fast and efficient.</t>
  </si>
  <si>
    <t>I feel like the form is perfect the way it is because it's easier to fill</t>
  </si>
  <si>
    <t>I feel the form is perfect the way it is because it's fast</t>
  </si>
  <si>
    <t>KENGELENI PRIMARY SCHOOL - 13ac2cc3-46a7-4f21-a15d-09d0cf20dae9</t>
  </si>
  <si>
    <t>Every step was leading to the next . All went well.</t>
  </si>
  <si>
    <t>During submission , it indicated that my file had an error. Later on I noticed that I did not download a new form thereafter I was able to submit my findings.</t>
  </si>
  <si>
    <t>I didn't not any point of improvement.</t>
  </si>
  <si>
    <t>I suggest that the program baseline should be stored online to avoid distortion when new admins assumes office .</t>
  </si>
  <si>
    <t>KOSAWO PRIMARY, ECDE, EYE AND JUNIOR SECONDARY SCHOOL - bf395afa-8963-4793-a662-1b2306bb6ad2</t>
  </si>
  <si>
    <t>The administration was cooperate</t>
  </si>
  <si>
    <t>Nothing everything is okay</t>
  </si>
  <si>
    <t>The Kobo app can be improved to make it more accessible and easier to use.</t>
  </si>
  <si>
    <t>BIBIRIONI PRIMARY SCHOOL - 36fdba40-b698-483a-b14c-9a1075e88a3c</t>
  </si>
  <si>
    <t>Data collection was smooth as the admin was cooperative and supportive. I was able to cross checked the data given and it was very accurate.</t>
  </si>
  <si>
    <t>When browsing for a supportive document maybe you allow CamScanner because I had More than one document which need to be uploaded.</t>
  </si>
  <si>
    <t>A feature where we can access the record of the school population since the start of the program now the we have been uploading school population in a termly basis.</t>
  </si>
  <si>
    <t>An overall grade attendance when doing daily attendance because recording grade per grade girls and boys takes a lot of time.</t>
  </si>
  <si>
    <t>KERWA PRIMARY AND JUNIOR SCHOOL - 0b50be2d-2cb6-49ca-bccd-70f14ef6912d</t>
  </si>
  <si>
    <t>. The data collection was completed within the required timeline. The school management collaborated effectively throughout the exercise.</t>
  </si>
  <si>
    <t>Network challenges occasionally delayed data collection</t>
  </si>
  <si>
    <t>Provide offline data collection guidelines</t>
  </si>
  <si>
    <t>GITUTHA PRIMARY SCHOOL - 52140973-5850-4ad1-aaf5-efc13bfa2896</t>
  </si>
  <si>
    <t>Data even when you are offline the data does not get lost</t>
  </si>
  <si>
    <t>none</t>
  </si>
  <si>
    <t>WEKELEKHA R.C SCHOOL - 166f8ebb-9630-40df-8c8f-1de9eed1d273</t>
  </si>
  <si>
    <t>Parents understanding the accounts well and how to pay.</t>
  </si>
  <si>
    <t>For you and our bosses to work in counties and talk to parents who still have doubt.</t>
  </si>
  <si>
    <t>By continuing educating them through there phone , importance of  this feeding.</t>
  </si>
  <si>
    <t>Good and much reliable food.</t>
  </si>
  <si>
    <t>KILIMANI PRIMARY AND JUNIOR SECONDARY SCHOOL - e19e0273-d832-4c6e-8044-5a3430a2a5be</t>
  </si>
  <si>
    <t>Everything. I had no issue</t>
  </si>
  <si>
    <t>For me it's working fine</t>
  </si>
  <si>
    <t>ISLAMIA COMPREHENSIVE PRIMARY - 78cf96bc-f2d3-4b50-a08f-8906bb835391</t>
  </si>
  <si>
    <t>The collection tool was easier to use than before tool</t>
  </si>
  <si>
    <t>Make use of the app than the link</t>
  </si>
  <si>
    <t>MOI AVENUE PRIMARY SCHOOL - e907c4d3-4a0d-4626-9c3d-ce5ea59616fc</t>
  </si>
  <si>
    <t>It's user friendly.Easier to input data</t>
  </si>
  <si>
    <t>JUJA FARM PRIMARY SCHOOL - 0ed52eca-fb6a-4c33-b928-ed10bf935391</t>
  </si>
  <si>
    <t>Pretty easy to fill and understand</t>
  </si>
  <si>
    <t>It's great as it currently is</t>
  </si>
  <si>
    <t>KIMBO COMPREHENSIVE SCHOOL - e791e322-98b8-4cf9-bf55-e9bddfadd56c</t>
  </si>
  <si>
    <t>The process was smooth with clear instructions</t>
  </si>
  <si>
    <t>KARURA PRIMARY SCHOOL - 0fc7c448-7cbb-4d4b-a20c-b1b4f81d8a98</t>
  </si>
  <si>
    <t>It was clear and understandable, also the ability to retrieve unfinished form was superb</t>
  </si>
  <si>
    <t>No challenge encountered</t>
  </si>
  <si>
    <t>GOME PRIMARY AND JUNIOR SCHOOL - a0aa4499-d731-4c32-9950-6a4c42af00a3</t>
  </si>
  <si>
    <t>Data collection was smooth.The tool was easy to use.</t>
  </si>
  <si>
    <t>Minor delays experienced during data collection.</t>
  </si>
  <si>
    <t>Enhancing user awareness and offer timely support where needed</t>
  </si>
  <si>
    <t>UMOJA PRIMARY SCHOOL - MOMBASA - 6127fbc1-5c4e-49ae-9f98-2519b6e460ce</t>
  </si>
  <si>
    <t>Everything went well it was easy to collect the data grade by grade.</t>
  </si>
  <si>
    <t>No challenges faced the admin gave maximum support with the activity.</t>
  </si>
  <si>
    <t>Nothing it's all good</t>
  </si>
  <si>
    <t>The exercise was successful from my end.</t>
  </si>
  <si>
    <t>BIDII-ZAWADI REGION</t>
  </si>
  <si>
    <t>HESHIMA PRIMARY SCHOOL - dcfff6a0-6d63-4c80-93a0-a2f642f954e3</t>
  </si>
  <si>
    <t>It was easy to fill in the data of grades respectively</t>
  </si>
  <si>
    <t>Maybe put streams according to each school</t>
  </si>
  <si>
    <t>Adding streams</t>
  </si>
  <si>
    <t>LAVINGTON PRIMARY SCHOOL - 78677b83-e42b-4d4f-8eeb-e37f5991dc15</t>
  </si>
  <si>
    <t>The system was okey and loading was easy</t>
  </si>
  <si>
    <t>For now on my side i have no complain hence encouraging the company to continue with the good spirit of responsibility quickly to our issues</t>
  </si>
  <si>
    <t>The week has been well and the learners have been happy with the food quality and quantity</t>
  </si>
  <si>
    <t>BAHATI DAY NURSERY - fa673598-f3b6-44c5-842a-3a702da07eb4</t>
  </si>
  <si>
    <t>It was easy to collect the population</t>
  </si>
  <si>
    <t>NJATHA-INI PRIMARY AND JUNIOR SCHOOL - 507c9bed-6275-4476-9b00-b69b58388b75</t>
  </si>
  <si>
    <t>Easy to use and direct</t>
  </si>
  <si>
    <t>KARIOBANGI NORTH PRIMARY AND JUNIOR SCHOOL - 459a6d53-c301-49cf-a7a4-23fe92bf6369</t>
  </si>
  <si>
    <t>It's smooth and very fast</t>
  </si>
  <si>
    <t>Its becoming hard to get the baseline population</t>
  </si>
  <si>
    <t>Remove the baseline population f</t>
  </si>
  <si>
    <t>MARTIN LUTHER SCHOOL - 5f5d5df5-9d78-4cad-a24f-cea2e06e7514</t>
  </si>
  <si>
    <t>Fast</t>
  </si>
  <si>
    <t>MUGUGA PRIMARY AND JUNIOR SCHOOL - 049447bb-da05-4d7c-b164-04d78103d1a9</t>
  </si>
  <si>
    <t>The tool was fast and give room for editing before submitting</t>
  </si>
  <si>
    <t>The data on the classes to be on one page, that is, for junior separate, primary and ECDE instead of every class to prompt you to next.</t>
  </si>
  <si>
    <t>The information on The school, kitchen region can be automated on your end, for instance, if I select my email it should pick the region, school, and any information about the location of the school.</t>
  </si>
  <si>
    <t>NGUNDU PRIMARY SCHOOL - f1aa311e-6666-485c-862d-10dfe8460d93</t>
  </si>
  <si>
    <t>If was effective and easy to understand</t>
  </si>
  <si>
    <t>All is okay</t>
  </si>
  <si>
    <t>If the regions,subregions and schoolscan be listed same as the county part</t>
  </si>
  <si>
    <t>MUTHAIGA PRIMARY SCHOOL - 7f5bb2a1-1f7c-4135-982b-10a66075dfce</t>
  </si>
  <si>
    <t>That the calculation are automated, once you key in the data they automatically give you a total which makes work easier. It is also very direct and easy to use.</t>
  </si>
  <si>
    <t>It was a little to access the draft in cases where I had nor completed filling the data.</t>
  </si>
  <si>
    <t>Once the issue of not accessing draft saved is worked on, I think that it will be good since one can access what was previously submitted and edit the mistake rather than fill in a new form</t>
  </si>
  <si>
    <t>KIFARU COMPREHENSIVE SCHOOL - 8882828e-97e2-42e7-a5b4-eca6c915031b</t>
  </si>
  <si>
    <t>The KoboToolbox tool was easy to use and navigate. Data submission was fast and reliable. The form structure reduced errors during data entry.Real-time access to collected data improved tracking and follow-up.</t>
  </si>
  <si>
    <t>Occasional internet connectivity challenges affected timely submissions. Some sections required additional clarification before data collection. A few respondents were unavailable during the first visit, leading to follow-ups.</t>
  </si>
  <si>
    <t>Provide a brief refresher training before future data collection exercises. Share a detailed guide on common issues and troubleshooting. Allow adequate time for follow-ups with unavailable respondents.</t>
  </si>
  <si>
    <t>The overall experience with KoboToolbox was positive and efficient. Thank you for the support and coordination throughout the data collection process.</t>
  </si>
  <si>
    <t>MUTHURWA PRIMARY SCHOOL - 69226196-5ee0-4992-9054-45476bb2d2e8</t>
  </si>
  <si>
    <t>Everything went smoothly</t>
  </si>
  <si>
    <t>No challenges</t>
  </si>
  <si>
    <t>No complain,keep up the good job</t>
  </si>
  <si>
    <t>JOSEPH KANG'ETHE PRIMARY AND JUNIOR SCHOOL - 6547fbfb-3255-4c16-850c-e9e41f9468de</t>
  </si>
  <si>
    <t>It is easier because It gives calculations automatically ,,there is also no loosing if data which is ok</t>
  </si>
  <si>
    <t>The time limit</t>
  </si>
  <si>
    <t>Maybe let It be given atleast more time mayb 10 minutes</t>
  </si>
  <si>
    <t>ST. DOMINICS PRIMARY SCHOOL - 605dab5e-cd8c-4326-b21a-536eb262e7f9</t>
  </si>
  <si>
    <t>Data was provided.</t>
  </si>
  <si>
    <t>Prior communication to the admin by either a phone call or through email.</t>
  </si>
  <si>
    <t>By calling/emailing the headteachers not only when we need data so as they can feel more involved not only when we vist them but the F4E support team should be making random calls this will make our work more easier as the relationship will improve.</t>
  </si>
  <si>
    <t>Thankyou for the support you always offer.</t>
  </si>
  <si>
    <t>MARARUI PRIMARY SCHOOL - b02704d7-06cf-4ff4-ad55-426aea8a18fa</t>
  </si>
  <si>
    <t>The app is more reliable ,and easy to fill in daya</t>
  </si>
  <si>
    <t>none on my end</t>
  </si>
  <si>
    <t>PLAINSVIEW PRIMARY SCHOOL - bcc8002f-6641-480a-bf93-cd41629a9661</t>
  </si>
  <si>
    <t>Teachers were coperating</t>
  </si>
  <si>
    <t>USHIRIKA PRIMARY AND JUNIOR SECONDARY SCHOOL - a35349ff-23b6-44c7-ac34-c7f73b6be078</t>
  </si>
  <si>
    <t>I was able to collect and submit the school population data successfully using Kobo. The tool was easy to use and the submission process was smooth.</t>
  </si>
  <si>
    <t>After submitting the population data, I was informed by the PDA the following day that I had entered an incorrect population figure. This required a review and correction of the submitted data.</t>
  </si>
  <si>
    <t>Introduce an additional verification step before submission. Cross-check population figures with school records and relevant stakeholders to ensure accuracy. Provide timely feedback on submitted data to enable quick corrections where necessary.</t>
  </si>
  <si>
    <t>ST. PATRICK'S COMPREHENSIVE SCHOOL - f3138256-98c0-4e32-9f67-82ab2eae0023</t>
  </si>
  <si>
    <t>It was easy to find my school after selecting the region</t>
  </si>
  <si>
    <t>Adjustment in location</t>
  </si>
  <si>
    <t>Nothing to improve</t>
  </si>
  <si>
    <t>ST. MATHEWS BUKHULUNYA PRIMARY - 70c9d2fa-6f5f-4ce5-ad7b-8d2a1e6434b7</t>
  </si>
  <si>
    <t>The filling process is user-friendly and organized</t>
  </si>
  <si>
    <t>The stage that requires GPS at the gate for final submission</t>
  </si>
  <si>
    <t>Automation of GPS location using terminal location</t>
  </si>
  <si>
    <t>Better our best!</t>
  </si>
  <si>
    <t>MATHARE NORTH PRIMARY - 422c1d4a-3f8f-4f71-ae1b-b6b38d160b63</t>
  </si>
  <si>
    <t>The summation and geo location is automatic</t>
  </si>
  <si>
    <t>I didn't experience any challenges on my end.</t>
  </si>
  <si>
    <t>All good on my end</t>
  </si>
  <si>
    <t>GARDEN ESTATE PRIMARY SCHOOL - c9d98bdc-8c9a-4a4c-bd0d-c4e1b16e08d2</t>
  </si>
  <si>
    <t>The admin will always provide the data ,I don't think they can say no.</t>
  </si>
  <si>
    <t>Baseline data, it repetitive we keep filling them all the time you should save them.</t>
  </si>
  <si>
    <t>Improve on saving the data. For future reference.</t>
  </si>
  <si>
    <t>DANIEL COMBONI PRIMARY AND JUNIOR SECONDARY SCHOOL - 43164f1e-f1c1-4766-9b43-2f96cb256954</t>
  </si>
  <si>
    <t>It was auto tallying the totals as you enter thus giving the correct totals.</t>
  </si>
  <si>
    <t>For me the app is okay</t>
  </si>
  <si>
    <t>KIAMBAA</t>
  </si>
  <si>
    <t>NJENGA KARUME COMPREHENSIVE SCHOOL - 3878f508-b65d-4c73-ad86-d0fb7e8512a9</t>
  </si>
  <si>
    <t>Automatic dial in for individual classes and gender makes it user friendly and it's hard to entangle data.</t>
  </si>
  <si>
    <t>Okay,on the ecde and playgroup part,,most schools have ecde but no play group but on kobold they are both under the same category so one has to input zeros on ecde,you guyz should separate them.</t>
  </si>
  <si>
    <t>KIRIGU PRIMARY AND JUNIOR SCHOOL - 4e0be26e-78aa-4e78-b51f-8869deb1d0a3</t>
  </si>
  <si>
    <t>Data collection process was easier because the administration was willing to give data needed.Also during of data I didn't encounter any challenge</t>
  </si>
  <si>
    <t>ST. CHARLES LWANGA COMPREHENSIVE SCHOOL - 5f497cd8-dbe8-4043-ba13-0587471e3fb1</t>
  </si>
  <si>
    <t>For data collection(school population),it was easy to collect since the HOI was readily available and the term two enrollment was already updated.</t>
  </si>
  <si>
    <t>It was difficult for the administration to know where they'd kept the baseline data and this looked liked I was giving them headache</t>
  </si>
  <si>
    <t>I think it'll be better if we'll be collecting this data only once per year either first term or third term</t>
  </si>
  <si>
    <t>THIKA ROAD PRIMARY AND JUNIOR SECONDARY SCHOOL - 6313498a-d99a-42b9-ad4a-e5f4f94c359c</t>
  </si>
  <si>
    <t>The feeding of information into the tool was easy due to the user friendly interface.</t>
  </si>
  <si>
    <t>The displaying of specific schools, region and sub region by names in the options section.by their names</t>
  </si>
  <si>
    <t>We may improve on delayed response when operating the website and clearly displaying the specific region,subregion and school of the respective subregions</t>
  </si>
  <si>
    <t>BIDII PRIMARY SCHOOL - c09f86f5-4be9-4751-bd55-5c5b4d1ebcb6</t>
  </si>
  <si>
    <t>The fact that is well explanatory and easy to fill.</t>
  </si>
  <si>
    <t>I had challenges while submitting it was indicating "Canceled by user" "so I had to keep on retrying.</t>
  </si>
  <si>
    <t>Kindly make submission process to be smooth and quick.</t>
  </si>
  <si>
    <t>VIJIWENI JUNIOR SCHOOL - 2a45d09a-3654-4c20-9755-f7163b0f8dc4</t>
  </si>
  <si>
    <t>Data was uploaded successful</t>
  </si>
  <si>
    <t>Getting data of baseline since HOI was not sure with what and where the data was going to be used</t>
  </si>
  <si>
    <t>The dorm was just standard</t>
  </si>
  <si>
    <t>Work on the app to make work easier next time.The app wasn't functioning</t>
  </si>
  <si>
    <t>DR. KRAPF PRIMARY SCHOOL AND JUNIOR SCHOOL - 9aff472d-3d14-438f-948c-813f2c3e1eb3</t>
  </si>
  <si>
    <t>The online link loaded incredible faster</t>
  </si>
  <si>
    <t>The process ran smoothly faster with no major challenges encountered</t>
  </si>
  <si>
    <t>RABAI ROAD PRIMARY - d17f2121-7e16-4fa2-b1e9-1adec096b5d1</t>
  </si>
  <si>
    <t>The data collection  went smoothly and  efficiently. The online  link wasceasy to access and form navigation was straight forward  and data captured  without  any loss</t>
  </si>
  <si>
    <t>Administration  providing the  data as they feel insecure . and think that  our organisations  will provide the data to the government . so they give a higher  population</t>
  </si>
  <si>
    <t>We can improve  this   by assuring the  administration  that the data is for  own  use</t>
  </si>
  <si>
    <t>Overall the exercise was successful. The online link mode worked well for this context and can be recommended for future data collection activities.</t>
  </si>
  <si>
    <t>KILELESHWA PRIMARY AND JUNIOR SECONDARY SCHOOL - 61b5e6b9-e461-47c4-baad-200ada8a01e9</t>
  </si>
  <si>
    <t>It was seamless</t>
  </si>
  <si>
    <t>I did not face any challenges</t>
  </si>
  <si>
    <t>The process was much okay</t>
  </si>
  <si>
    <t>FARASI LANE PRIMARY AND JUNIOR SECONDARY SCHOOL - dd34831e-0c45-47db-9ee2-6dfce17f07bc</t>
  </si>
  <si>
    <t>The data was easy to collect from the headteacher.</t>
  </si>
  <si>
    <t>The data acquired has no ECDE information,it was separated,it would be better if we had two entries to capture the both records.</t>
  </si>
  <si>
    <t>To add two entries of a document needed to showcase the data.</t>
  </si>
  <si>
    <t>The kobo is efficient.</t>
  </si>
  <si>
    <t>NJORO DAY NURSERY - 17228c03-2bd6-4ce4-bf97-a5719d180024</t>
  </si>
  <si>
    <t>The data collection</t>
  </si>
  <si>
    <t>By the help of Ecd manager</t>
  </si>
  <si>
    <t>THIRIME PRIMARY AND JUNIOR SCHOOL - b316f3a5-7221-4271-ae09-8a9f68f25ada</t>
  </si>
  <si>
    <t>It's easy to use,saves the information,does automatic calculation</t>
  </si>
  <si>
    <t>Require wifi/data to function</t>
  </si>
  <si>
    <t>Could we explore more offline accessibility?</t>
  </si>
  <si>
    <t>HIGHWAY MANYATTA PRIMARY SCHOOL - 2bb7c376-d248-4f47-aa18-6cf8a7117a45</t>
  </si>
  <si>
    <t>Easy to fill because it requires less writing thus less time consumed.  Has formulas  that populate the total population  therefore easy to identify  math errors.</t>
  </si>
  <si>
    <t>Include a room for streams for schools with different streams.</t>
  </si>
  <si>
    <t>DAIMA PRIMARY AND JUNIOR SECONDARY SCHOOL - 50711d09-6f65-41be-b7b5-9b17657581ab</t>
  </si>
  <si>
    <t>Very Poor</t>
  </si>
  <si>
    <t>Ease to use. No delays when launching the link</t>
  </si>
  <si>
    <t>My data went missing and I could not redo if for it indicated that the data exists.</t>
  </si>
  <si>
    <t>CENTRAL DAY NURSERY - 36122a6a-adcf-4397-aafd-4e9993625f25</t>
  </si>
  <si>
    <t>The pop ups suggestions enable faster filling of the form making work easier.</t>
  </si>
  <si>
    <t>I experienced no challenge</t>
  </si>
  <si>
    <t>Everything is okay</t>
  </si>
  <si>
    <t>DONHOLM COMPREHENSIVE SCHOOL - d9fbad7e-c752-4e68-a57d-2adce042eaff</t>
  </si>
  <si>
    <t>The process was smooth since it guides one step by step.</t>
  </si>
  <si>
    <t>I find it ok the way it is.</t>
  </si>
  <si>
    <t>For now I find it ok</t>
  </si>
  <si>
    <t>Easy method of data collection.</t>
  </si>
  <si>
    <t>TREESIDE SPECIAL SCHOOL - 0b86edcd-9cb1-4b4a-b5f0-de19be91ed41</t>
  </si>
  <si>
    <t>Happy that the head of institution provides me with the information needed.</t>
  </si>
  <si>
    <t>I encountered no challenges.</t>
  </si>
  <si>
    <t>Population to be taken yearly</t>
  </si>
  <si>
    <t>PARKLANDS DAY NURSERY - af75ef3f-56ce-4211-b31e-1d0f17f73234</t>
  </si>
  <si>
    <t>Generally there is a population increase of pupils in school</t>
  </si>
  <si>
    <t>Send the link earlier to enable proper collection of data.</t>
  </si>
  <si>
    <t>PETER KIBUKOSYA PRIMARY AND JUNIOR SCHOOL - 2e3406b3-8267-4ac2-a34b-7c10a8f19269</t>
  </si>
  <si>
    <t>The collection of the data was good because the school had it already.</t>
  </si>
  <si>
    <t>The app was challenging to use I had to use the link instead</t>
  </si>
  <si>
    <t>NILE ROAD SPECIAL SCHOOL - 027899c3-2521-444c-8f64-aa687651f044</t>
  </si>
  <si>
    <t>I was able to get the number of boys and girls directly from teachers as per their registers. The total population i got matched with the number than is in the school administration. The teachers and the school admin were very supportive.</t>
  </si>
  <si>
    <t>In my school popolation keeps on changing any time of the term not neccessarilly  the first weeks alone. They can be admitted at any time or students can opt out anytime.</t>
  </si>
  <si>
    <t>ST. JOHN PRIMARY SCHOOL - 8b361e18-99df-40ea-94a8-cbab3254a16e</t>
  </si>
  <si>
    <t>The tool is easy to use whether one is using the link or app.</t>
  </si>
  <si>
    <t>Havent had any challenge yet</t>
  </si>
  <si>
    <t>HEIDEMARIE MATHARE 4A COMPREHENSIVE SCHOOL - f1668cd1-72b7-4d9d-ad9c-65d2a85e8be2</t>
  </si>
  <si>
    <t>Data entry was well acquired at the app</t>
  </si>
  <si>
    <t>Everything was good well experience</t>
  </si>
  <si>
    <t>KAHAWA PRIMARY SCHOOL - 0998ce52-aa8f-429d-a645-435e6d5c1602</t>
  </si>
  <si>
    <t>It was well organised and easy to interpret.</t>
  </si>
  <si>
    <t>Baseline population data should already be engraved in the toolbox.</t>
  </si>
  <si>
    <t>PUMWANI PRIMARY SCHOOL - 221ce772-bc4d-47a6-b8d2-e3dd979a798a</t>
  </si>
  <si>
    <t>The process was smooth,no hitches.</t>
  </si>
  <si>
    <t>Explain further what baseline population means.</t>
  </si>
  <si>
    <t>RIVERBANK PRIMARY SCHOOL - c3ac3745-b0f6-4e0a-9d19-422828300e99</t>
  </si>
  <si>
    <t>The accuracy and the process is fast</t>
  </si>
  <si>
    <t>None for now ,it's the best</t>
  </si>
  <si>
    <t>Add offline functionality</t>
  </si>
  <si>
    <t>STATE HOUSE PRIMARY SCHOOL - 3e153287-e4ba-49c1-83f2-73f72a905f88</t>
  </si>
  <si>
    <t>The tool is easy to use</t>
  </si>
  <si>
    <t>Everything was well</t>
  </si>
  <si>
    <t>KIHUMBUINI PRIMARY AND JUNIOR SECONDARY SCHOOL - 4ccfd1ae-d4a4-4ac3-bc11-0de7f10922f8</t>
  </si>
  <si>
    <t>The data collected brought more insight on how many more students should be enrolled and activated to the program</t>
  </si>
  <si>
    <t>The time it took to get the data was too much. Sometimes getting the data fast leads to getting inaccurate information.</t>
  </si>
  <si>
    <t>We can improve by talking to the schools and telling them on the importance of us getting this data. This will reduce the time taken to get the data.</t>
  </si>
  <si>
    <t>DRIVE IN PRIMARY AND JUNIOR SECONDARY SCHOOL - b1fdb5f4-0c7f-4dbe-924f-2c12a8e458e8</t>
  </si>
  <si>
    <t>Data collection covered every aspect needed</t>
  </si>
  <si>
    <t>Everything was on point.</t>
  </si>
  <si>
    <t>JAMES GICHURU PRIMARY AND JUNIOR SECONDARY SCHOOL - 730b902e-f8b2-4bb8-9751-622d679019d4</t>
  </si>
  <si>
    <t>Getting the final figure</t>
  </si>
  <si>
    <t>Data collection team getting intoch with our school administration, for final figures to be readily available.</t>
  </si>
  <si>
    <t>Adequate follow up and communication between data collection team and the school administration should be maintained so that the school lead can easily aquire the information</t>
  </si>
  <si>
    <t>NYATHUNA COMPREHENSIVE SCHOOL - 5ab211d2-5ed4-4799-b50e-fc34ec7991f1</t>
  </si>
  <si>
    <t>Thanks to secretary she gave me information on time,l was able to have information on time.to</t>
  </si>
  <si>
    <t>I challenge l face l was told school population is private,they are not supposed to give out,l explained and he agree to give me information.</t>
  </si>
  <si>
    <t>When collect data population ta be given enough time that will we enable to collect a correct information.</t>
  </si>
  <si>
    <t>LARI</t>
  </si>
  <si>
    <t>KIRENGA BOYS TECH HIGH SCHOOL - 970d94a8-477d-4f29-944f-5aaab05aae57</t>
  </si>
  <si>
    <t>The platform enabled real time data collection which is really nice</t>
  </si>
  <si>
    <t>Better training on it . Especially with those having challenges</t>
  </si>
  <si>
    <t>More trainings</t>
  </si>
  <si>
    <t>KAMULU DAY NURSERY - f736cf17-a278-45c6-b5db-ce05568c67af</t>
  </si>
  <si>
    <t>All was good</t>
  </si>
  <si>
    <t>JEHOVAH JIREH PRIMARY SCHOOL - bf858d83-859c-44cb-83a4-3c07509714cf</t>
  </si>
  <si>
    <t>Data entry</t>
  </si>
  <si>
    <t>The app is efficient.</t>
  </si>
  <si>
    <t>I'm ok with it.</t>
  </si>
  <si>
    <t>Thank you.the app made my work easier.</t>
  </si>
  <si>
    <t>FATHIL ADHIM PRIMARY SCHOOL - 5797e42e-ecb0-436f-80fc-0dadaa6ceb33</t>
  </si>
  <si>
    <t>I managed to collect data from grade to grade</t>
  </si>
  <si>
    <t>Speed and performance</t>
  </si>
  <si>
    <t>LADY NORTHEY DAY NURSERY - ce09e552-1a67-49bc-951f-007eb4ec3933</t>
  </si>
  <si>
    <t>The tool is time efficient,it's save on time and fast in terms  of keying in the data.Everthing went well since the teachers were cooperative</t>
  </si>
  <si>
    <t>As per me everything is okay.</t>
  </si>
  <si>
    <t>Everything is okay since the tool has made work easier</t>
  </si>
  <si>
    <t>Getting the final figures</t>
  </si>
  <si>
    <t>Communication between data collection team and the school administration.</t>
  </si>
  <si>
    <t>Adequate follow up and communication between data collection team and the school administration should be maintained, this would make it easier for them to give information to the school lead on time and easily</t>
  </si>
  <si>
    <t>ST. TERESA GIRLS PRIMARY AND JUNIOR SECONDARY SCHOOL - caa889be-5014-4c74-a7e3-38346b55e05a</t>
  </si>
  <si>
    <t>It's efficient in data collection</t>
  </si>
  <si>
    <t>The efficiency</t>
  </si>
  <si>
    <t>None as at now</t>
  </si>
  <si>
    <t>KILELESHWA DAY NURSERY - 447a19c2-d30c-4688-afe0-dc97bbabfb7b</t>
  </si>
  <si>
    <t>The user interface was very friendly</t>
  </si>
  <si>
    <t>Everything is going well</t>
  </si>
  <si>
    <t>So far so good everything is in good condition</t>
  </si>
  <si>
    <t>UHURU ESTATE PRIMARY - 15c64c53-15e8-449b-8df2-0d54cc80d271</t>
  </si>
  <si>
    <t>Attendance challenges: "Some learners were absent from school, limiting engagement opportunities."</t>
  </si>
  <si>
    <t>:More consistent parent follow-up and earlier intervention for inactive learners could have improved the results."</t>
  </si>
  <si>
    <t>"Conduct regular parent follow-ups, encourage timely top-ups, and monitor inactive learners closely."</t>
  </si>
  <si>
    <t>GITIBA PRIMARY AND JUNIOR SCHOOL - KARINDE - ae349183-757e-4198-86d8-f7d8a71aea19</t>
  </si>
  <si>
    <t>It was easy and fast to use</t>
  </si>
  <si>
    <t>The app gave me a problem in locating the latitude</t>
  </si>
  <si>
    <t>Great feature in general</t>
  </si>
  <si>
    <t>ST. VINCENT HIRUMBI COMPREHENSIVE PRIMARY - cee74077-a18b-4976-b689-8ebd3228a128</t>
  </si>
  <si>
    <t>Admin made data collection easy.</t>
  </si>
  <si>
    <t>Some kids don't show up in school until the fourth week, I feel that there should be an extension.</t>
  </si>
  <si>
    <t>Make data collection to be on the fourth week.</t>
  </si>
  <si>
    <t>CONCORDIA PRIMARY SCHOOL - 957e6913-fc7e-4523-b80c-d6a1d9947680</t>
  </si>
  <si>
    <t>Easy data collection process. Finding coordinates was easier without the actual map, which gave wrong coordinates.</t>
  </si>
  <si>
    <t>There were no challenges in the data collection process.</t>
  </si>
  <si>
    <t>The collection process was okay.</t>
  </si>
  <si>
    <t>KWIHOTA PRIMARY SCHOOL - 58a0f74d-f5d1-4cf2-ba54-5778b250aca2</t>
  </si>
  <si>
    <t>I particularly like that the app calculates the total number of boys and girls separately. This makes error detection much easier, as any mismatch between the app's totals and the paper records can be spotted quickly.</t>
  </si>
  <si>
    <t>The app experiences delays when capturing GPS coordinates at the school gate, requiring multiple attempts before the location is successfully recorded.</t>
  </si>
  <si>
    <t>Improve GPS loading speed and stability during location capture.</t>
  </si>
  <si>
    <t>Provide data for us to work more efficiently.</t>
  </si>
  <si>
    <t>MAHIGA PRIMARY AND JUNIOR SECONDARY SCHOOL - f74d0df2-c115-428d-be5a-91b77fe9edc3</t>
  </si>
  <si>
    <t>The tool was easy to navigate</t>
  </si>
  <si>
    <t>Baseline data shouldn't be filled in every population collection</t>
  </si>
  <si>
    <t>PUMWANI DAY NURSERY - 02401699-ed34-42ba-96de-24cd710e0784</t>
  </si>
  <si>
    <t>The KoboToolbox.platform was user-friendly and easy to understand. Data collection was well organized and the submission process was smooth. The tool helped maintain data accuracy and made it easier to monitor progress.</t>
  </si>
  <si>
    <t>Improved internet connectivity and more time for data verification to ensure accurate and timely submission.</t>
  </si>
  <si>
    <t>Provide more time for data collection and follow-up activities. Improve guidance on handling common challenges encountered in the field. Strengthen support for offline data collection .</t>
  </si>
  <si>
    <t>The exercise was well coordinated and provided valuable experience. Continued improvements to the process and support systems will make future data collection exercises even more effective.</t>
  </si>
  <si>
    <t>RACECOURSE PRIMARY SCHOOL - d2208c65-ad25-436f-b22f-25330019eda8</t>
  </si>
  <si>
    <t>The work flow</t>
  </si>
  <si>
    <t>No challenge</t>
  </si>
  <si>
    <t>For me everything was  good</t>
  </si>
  <si>
    <t>GITOTHUA PRIMARY SCHOOL - 27552860-b8d0-4d89-869a-ff9bdf4fe86b</t>
  </si>
  <si>
    <t>It already has sections so filling in the numbers is easier and the total number of students automatically fills itself.</t>
  </si>
  <si>
    <t>Nothing I can think of.</t>
  </si>
  <si>
    <t>Nothing I can thin of.</t>
  </si>
  <si>
    <t>H.G.M KINOO PRIMARY AND JUNIOR SCHOOL - b97e1615-dac0-40ca-9ec2-bb4ac3f1990f</t>
  </si>
  <si>
    <t>I didn't have any hardship in accessing the school population data.The collection process was fast and efficient.</t>
  </si>
  <si>
    <t>I had to explain in details on why I regularly asks for the school data.</t>
  </si>
  <si>
    <t>In future I would suggest our data team should prepare a school population data sheet  ,it will make it easier for the administrator to understand  the process .It will also help in the record keeping for us working in the school.</t>
  </si>
  <si>
    <t>MUGUGA GREEN PRIMARY SCHOOL - ad6d0df1-9a4c-4f8d-97ac-2f7a1b41d46b</t>
  </si>
  <si>
    <t>Using the app is more convenient and efficient</t>
  </si>
  <si>
    <t>My TAT on the task</t>
  </si>
  <si>
    <t>No idea</t>
  </si>
  <si>
    <t>ST. GEORGE'S COMPREHENSIVE SCHOOL - ab06ddfa-477c-458e-ba72-5e692c277038</t>
  </si>
  <si>
    <t>It's not time consuming,compared to going round taking photos of class registers</t>
  </si>
  <si>
    <t>Collecting baseline data before the school started feeding since it's not the same person who has been in charge since then</t>
  </si>
  <si>
    <t>Everything is okay.</t>
  </si>
  <si>
    <t>The tool is easy to use, efficient and saves on time.</t>
  </si>
  <si>
    <t>MOWLEM SUPALOAF PRIMARY AND JUNIOR SECONDARY SCHOOL - 3140708c-dc02-4052-bb7e-ab0e3a9d6902</t>
  </si>
  <si>
    <t>Easy and accurate calculation</t>
  </si>
  <si>
    <t>It would be easier if we collected the total number of students rather than boy and girls separately</t>
  </si>
  <si>
    <t>Add other options of acquiring data .. either in general or  boys and girls separately</t>
  </si>
  <si>
    <t>KARIOBANGI SOUTH PRIMARY AND JUNIOR SECONDARY SCHOOL - 8128384d-d556-4363-b6dd-deab90cf3309</t>
  </si>
  <si>
    <t>Everything was, well, especially uploading the document very easy no struggle.</t>
  </si>
  <si>
    <t>I think it's okay the way it is..</t>
  </si>
  <si>
    <t>Just maintain it the way it is</t>
  </si>
  <si>
    <t>It is very easy and first, it take minutes and you are done....unless the administration delays to provide the population.</t>
  </si>
  <si>
    <t>CHEMCHE ACK PRIMARY SCHOOL - 06361e67-6a1b-4443-9fb6-72f12ccfdecf</t>
  </si>
  <si>
    <t>It's easier to identify the number of both girls and boys present in a particular day in school.The admin cooperated in terms of data provision</t>
  </si>
  <si>
    <t>Head count interrupts class attentions in kids.  Let it be done in the evenings.</t>
  </si>
  <si>
    <t>To be done twice or thrice in a week not daily.</t>
  </si>
  <si>
    <t>NEW EASTLEIGH PRIMARY AND JUNIOR SCHOOL - a84c5923-22dd-40bd-9f60-1cc46f51016e</t>
  </si>
  <si>
    <t>At least the learner's are enjoying the new garlic western dengu</t>
  </si>
  <si>
    <t>Language barrier</t>
  </si>
  <si>
    <t>Creation of awareness</t>
  </si>
  <si>
    <t>KIBORO PRIMARY SCHOOL - deceb4eb-e705-4117-9382-7c1908067ac9</t>
  </si>
  <si>
    <t>The whole process was smooth</t>
  </si>
  <si>
    <t>OLM SHAURI MOYO GIRLS PRIMARY AND JUNIOR SCHOOL - 400fc78c-c9dc-482a-b53e-65f74a9f610d</t>
  </si>
  <si>
    <t>It was easy to use the tool as I didn't find any difficulty while using it</t>
  </si>
  <si>
    <t>No challenge experienced while using the tool</t>
  </si>
  <si>
    <t>KONGONI PRIMARY SCHOOL - 6584c9ec-2b7a-4931-bbfd-50a4ae08e305</t>
  </si>
  <si>
    <t>The process of data collection was good and the period given was enough and response from the learners.</t>
  </si>
  <si>
    <t>The collection was a bit confusing but if the spreadsheet could have been a bit better.</t>
  </si>
  <si>
    <t>GITHURAI PRIMARY SCHOOL - 9334ff06-eaa6-4f2b-8e19-1606dbf60cf4</t>
  </si>
  <si>
    <t>Feeding the data was easy</t>
  </si>
  <si>
    <t>We have quite a number of streams so it would be great if the app would accommodate submitting the data according to the streams in a school</t>
  </si>
  <si>
    <t>That the kobo app be made more convenient to use</t>
  </si>
  <si>
    <t>BURUBURU 1 COMPREHENSIVE SCHOOL - 155b5148-d729-4006-a778-67e7c31dd255</t>
  </si>
  <si>
    <t>The system is seamless able to save drafts.</t>
  </si>
  <si>
    <t>No challenges experienced with the app, the main challenge is collecting the data for every individual class compiling it for submission it is very time consuming and some classes do not always have the class teacher present</t>
  </si>
  <si>
    <t>The data collection can be mitigated to perphaps specific days in a week or a week in a month however every day class to class is not practical</t>
  </si>
  <si>
    <t>CANON APOLO PRIMARY AND JUNIOR SCHOOL - 77456cd8-335f-4762-8d62-e551772b1094</t>
  </si>
  <si>
    <t>The class breakdown makes work more easier and also the totals after population colletion.</t>
  </si>
  <si>
    <t>None app is responding great.</t>
  </si>
  <si>
    <t>For me the app contains all is needed currently therefore we keep up with the app</t>
  </si>
  <si>
    <t>KALOLENI PRIMARY SCHOOL - 73d0c1cf-3c2d-47d5-a08d-e7cd47eda6ae</t>
  </si>
  <si>
    <t>Was actually able to know the exact number of kids in the school</t>
  </si>
  <si>
    <t>NGEWA PRIMARY SCHOOL - 1aaa513a-5e2f-4abb-ba6b-7f5b142d7c09</t>
  </si>
  <si>
    <t>Administration coparated to give the information.</t>
  </si>
  <si>
    <t>The method used was good</t>
  </si>
  <si>
    <t>TANA CRESCENT DAY NURSERY - c3e3cdb0-39da-434c-98a5-d5211785bbb7</t>
  </si>
  <si>
    <t>Kids ate hot ,safe enough food on time</t>
  </si>
  <si>
    <t>Right portion ,hot food ,clean plates,happy parents and low wasted food</t>
  </si>
  <si>
    <t>Focus on the 4 places where small small fixes big impact for kids based on everything we re discussed  safety grievances data</t>
  </si>
  <si>
    <t>KALOLENI DAY NURSERY - f59ebea7-dbf7-47f7-a59c-38f96f349530</t>
  </si>
  <si>
    <t>The process was good and head teacher was cooperative</t>
  </si>
  <si>
    <t>Process was good</t>
  </si>
  <si>
    <t>KENYATTA UNIVERSITY PRIMARY SCHOOL - 310d8b26-651d-48e7-b925-4bc36b500e20</t>
  </si>
  <si>
    <t>It automatically saves collected data, that even if I left the site, I could still continue from where I left it without losing previously recorded information.</t>
  </si>
  <si>
    <t>I didn’t find any challenges feeding the data</t>
  </si>
  <si>
    <t>Through the link, the submitted data isn’t available for later viewing. At least make it visible in the future.</t>
  </si>
  <si>
    <t>JACARANDA SPECIAL SCHOOL - fd81d1b6-9d18-42ae-bc40-e5d5b1589e1c</t>
  </si>
  <si>
    <t>The accuracy</t>
  </si>
  <si>
    <t>Nothing ,,all was good</t>
  </si>
  <si>
    <t>Good job keep it up .</t>
  </si>
  <si>
    <t>KOMOTHAI COMPREHENSIVE SCHOOL - 83537cca-2ab8-46bf-b416-fc85a99a2c2f</t>
  </si>
  <si>
    <t>How it sums up the population for both boys and girls</t>
  </si>
  <si>
    <t>Getting the school location</t>
  </si>
  <si>
    <t>Show records for previous population taken</t>
  </si>
  <si>
    <t>ST. TERESA BOYS PRIMARY AND JUNIOR SECONDARY SCHOOL - 0253a59b-bd4a-4c41-89f5-98bfb8f62eac</t>
  </si>
  <si>
    <t>The tool is easy to use and input data that is accurate and can be saved in draft</t>
  </si>
  <si>
    <t>No issue found. Tool works perfectly.</t>
  </si>
  <si>
    <t>Improvements needed on when stating data is received from the senior teacher has already been solved.</t>
  </si>
  <si>
    <t>None so far.</t>
  </si>
  <si>
    <t>MANGUU PRIMARY SCHOOL - 1c52211b-42e1-483b-a47b-35f6934ff184</t>
  </si>
  <si>
    <t>Smooth and successful. No errors</t>
  </si>
  <si>
    <t>No major challenges</t>
  </si>
  <si>
    <t>ZAWADI PRIMARY SCHOOL - a3209ac8-a57b-4bb6-ada8-b2bea0c96107</t>
  </si>
  <si>
    <t>My administration was co-operative during the population collection during</t>
  </si>
  <si>
    <t>On my end I like you guys are doing a very great job,so as for me everything is good</t>
  </si>
  <si>
    <t>BARAKA COMPREHENSIVE SCHOOL - e42ed5a1-2f04-425e-9885-819ecb06905e</t>
  </si>
  <si>
    <t>The tool was easy to access and use. Data submission was straightforward. The online link made it convenient to collect information.</t>
  </si>
  <si>
    <t>Simplify the data collection process. Provide clearer instructions for users. Improve system performance and responsiveness.</t>
  </si>
  <si>
    <t>BUEMA R.C PRIMARY AND JUNIOR SCHOOL - ba2c9495-bd58-4faa-b60b-dd122898a5f8</t>
  </si>
  <si>
    <t>No challenge when getting the information.I was helped by the senior teacher</t>
  </si>
  <si>
    <t>Everything was ok</t>
  </si>
  <si>
    <t>AINSWORTH PRIMARY SCHOOL - 194fa8ce-40b5-45c7-95b9-a47fcf2d52d8</t>
  </si>
  <si>
    <t>The data collection tool was well organized and very easy to use making data collection seamless. Cooperation from the teachers also made the process much easier to complete.</t>
  </si>
  <si>
    <t>One challenge i faced is that in some classes the registers were not upto date especially after admission of new students whose names were not yet entered in the register hence lengthening the process. Some teachers were also quite reluctant to provide the data as they didn't fully understand the purpose of it's collection.</t>
  </si>
  <si>
    <t>I recommend that in future population collection exercises, communication should be made to the headteachers through sms before the exercise begins to help them sensitize other teachers on the exercise.</t>
  </si>
  <si>
    <t>Overall,the exercise was successful and provided data needed for planning and decision making.</t>
  </si>
  <si>
    <t>NDUNG'U GIRLS SECONDARY SCHOOL - 5c45bc32-3686-47d8-b8d3-0bf69c001acb</t>
  </si>
  <si>
    <t>All went well.I had no challenge in getting the data and filling it in.</t>
  </si>
  <si>
    <t>I didn't get any challenge</t>
  </si>
  <si>
    <t>Giving us feedback on the active students compared to the population and registered students</t>
  </si>
  <si>
    <t>LOWER KIHARA COMPREHENSIVE SCHOOL - ff0ae896-554d-4175-bc1e-0d40826ed4dd</t>
  </si>
  <si>
    <t>The primary school and JSS administration were cooperative in handing the data to me</t>
  </si>
  <si>
    <t>Separate the ECDE data from the main data given that mostly in places like Kiambu. Those are two separate institutions</t>
  </si>
  <si>
    <t>Combo collect should have a drafts section visible.</t>
  </si>
  <si>
    <t>MARIAKANI PRIMARY SCHOOL - 6549c62c-1e86-40f3-ade8-ceb6f920ef62</t>
  </si>
  <si>
    <t>It was Abit first, simplified and the fact I could that I could see the numbers of both boys and girls separately I think it was very relevant</t>
  </si>
  <si>
    <t>As for now I think it's the best method so far</t>
  </si>
  <si>
    <t>This should at least be done monthly to reduce the many discrepancies that are pilling</t>
  </si>
  <si>
    <t>JAMHURI COMPREHENSIVE SCHOOL - b61be885-8084-4294-9a33-230f88947ec1</t>
  </si>
  <si>
    <t>The information was easy to gather from class teachers and the deputy.</t>
  </si>
  <si>
    <t>The platform was failing to collect the location information sometimes.</t>
  </si>
  <si>
    <t>Maybe allow someone to update the data submitted incase someone submits wrong data at any point.</t>
  </si>
  <si>
    <t>KARURA FOREST SCHOOL - e4251caa-b4c6-4bd5-b80d-54149585268c</t>
  </si>
  <si>
    <t>Easy to use. Straight forward. Time saving. Reduced error in during calculation,.</t>
  </si>
  <si>
    <t>No major challenges was encountered</t>
  </si>
  <si>
    <t>Maybe can be designed in a way that can read a picture such that when I take a picture it can autofill the numbers</t>
  </si>
  <si>
    <t>Generally the tools is cool and user friendly</t>
  </si>
  <si>
    <t>JOSEPH APUDO PRIMARY SCHOOL - ff70fe7e-1544-432d-8b45-1712595a92a9</t>
  </si>
  <si>
    <t>Through this process I was able to know the exact school population. The Head of institution was so supportive because she provided the term 2 school enrollment make work easier.</t>
  </si>
  <si>
    <t>I didn't encounter any challenge. The process was smooth and easy.</t>
  </si>
  <si>
    <t>By giving us sufficient time so that we can provide with accurate data</t>
  </si>
  <si>
    <t>ST. MICHAEL'S PRIMARY SCHOOL - 379c3080-2451-49ad-8196-ab1a998868bf</t>
  </si>
  <si>
    <t>The submission was smooth</t>
  </si>
  <si>
    <t>MAKUTANO SECONDARY SCHOOL - 958cb426-2532-406c-bea4-4bf354ba1bed</t>
  </si>
  <si>
    <t>Was easy to assess</t>
  </si>
  <si>
    <t>Using the link it was slow opening</t>
  </si>
  <si>
    <t>Using the app instead of link</t>
  </si>
  <si>
    <t>KALIMONI COMPREHENSIVE SCHOOL - 78bf2ae0-d2f2-4205-ab62-a7f90ca7444c</t>
  </si>
  <si>
    <t>The school was cooperative in the population collection process.</t>
  </si>
  <si>
    <t>There were so many activities that increased kids absentism making it uneasy to collect the population.</t>
  </si>
  <si>
    <t>No recommendations</t>
  </si>
  <si>
    <t>JOGOO ROAD PRIMARY SCHOOL - 0df81e63-b0b2-4612-9b64-b767c0c3622b</t>
  </si>
  <si>
    <t>The Admin were supportive</t>
  </si>
  <si>
    <t>No thanks</t>
  </si>
  <si>
    <t>GITHIMA PRIMARY AND JUNIOR SECONDARY SCHOOL - 1eb0f67a-19a6-469a-b25e-16ce06bf0a44</t>
  </si>
  <si>
    <t>It was easy collecting the population using the app and also the school admin responded positively on issuing me the document of population</t>
  </si>
  <si>
    <t>For my school I had a challenge on accessing the baseline population because the admin had misplaced them and also the transfers were many thus decreasing the population comparing with other terms</t>
  </si>
  <si>
    <t>Taking the population twice per term as the kids usually transfers also when getting back from midterm</t>
  </si>
  <si>
    <t>ST. PAUL'S PRIMARY SCHOOL - 54ff05cf-e051-40c5-b678-273563aeec3b</t>
  </si>
  <si>
    <t>Class teachers helped verify attendances quickly which reduced errors, school admin give us work space</t>
  </si>
  <si>
    <t>Network issues delayed form submission, better to train on offline submission</t>
  </si>
  <si>
    <t>Add a short video training for any new kobo tool question</t>
  </si>
  <si>
    <t>MUCHATHA SECONDARY SCHOOL - 9a63d8aa-b7be-431c-843a-80daa658fbd6</t>
  </si>
  <si>
    <t>The process was seamless and easy to update the information</t>
  </si>
  <si>
    <t>Looking forward to more seamless operations in the future</t>
  </si>
  <si>
    <t>CGHU PRIMARY SCHOOL - 4018f396-fc06-4edb-bd13-075a0b2934f4</t>
  </si>
  <si>
    <t>The online link worked well during data collection. I was able to access the form easily, collect the required school population data, and submit the information successfully. The process was smooth, and all assigned tasks were completed accurately and on time.</t>
  </si>
  <si>
    <t>Nothing major needed improvement. The exercise was conducted successfully, and all assigned tasks were completed as planned</t>
  </si>
  <si>
    <t>We can improve by informing school staff earlier about the exercise, ensuring all preparations are made in advance, and allocating enough time to complete the assignment efficiently.</t>
  </si>
  <si>
    <t>The exercise was completed successfully, and the data collection process was smooth.</t>
  </si>
  <si>
    <t>KAMUCHEGE SECONDARY SCHOOL - 0f746308-4c6e-449b-9d51-6ae677f149c7</t>
  </si>
  <si>
    <t>Finding the number of students in the school since the admin was corporative</t>
  </si>
  <si>
    <t>Finding the baseline population</t>
  </si>
  <si>
    <t>In the kobo app their are many steps so maybe by making it one form</t>
  </si>
  <si>
    <t>OFAFA DAY NURSERY - ff268463-6d65-4253-bc21-1663e36e0274</t>
  </si>
  <si>
    <t>How it's simple</t>
  </si>
  <si>
    <t>Combination of the whole class than doing  girls and boys</t>
  </si>
  <si>
    <t>KIRIRI PRIMARY SCHOOL - 20e4928f-69ad-43fe-bf50-20380076e486</t>
  </si>
  <si>
    <t>When filling the data per grade the link helped me to see the total population at the end I was able to see where I entered wrong detail and corrected them.</t>
  </si>
  <si>
    <t>GATUURA SECONDARY SCHOOL - 9527aaff-f205-4479-8e1a-b7b6cb935a83</t>
  </si>
  <si>
    <t>The data showed the ratio of boys and girls is not equal ,boys are more than girls.I also discovered  that  form's  are  the most students in the school. The students and data was already verified.The data was a gender breakdown showing the number of boys and girls present in the school.</t>
  </si>
  <si>
    <t>The challenge was the register might have not shown recent transfers  or dropouts. If the boys and girls were equal in terms of numbers</t>
  </si>
  <si>
    <t>You can create a  data process where it covers collection , validation and archiving.</t>
  </si>
  <si>
    <t>ST. MARY'S NYALENDA PRIMARY SCHOOL - 8dc59a95-d95c-4715-bac8-0f4dc7a4732d</t>
  </si>
  <si>
    <t>It was easier in the data entry  process</t>
  </si>
  <si>
    <t>The process was flawless</t>
  </si>
  <si>
    <t>Make it interlinked with the terminal or tap to eat app</t>
  </si>
  <si>
    <t>GATHAITI SECONDARY SCHOOL - 6823b91c-ad6c-4d5d-b56b-6fc5681baa00</t>
  </si>
  <si>
    <t>The process is easy operate</t>
  </si>
  <si>
    <t>If the students reported to school on the daily basis</t>
  </si>
  <si>
    <t>Absentism</t>
  </si>
  <si>
    <t>LORESHO COMPREHENSIVE SCHOOL - a66ad478-dfdf-442c-b74c-5fbc657e800d</t>
  </si>
  <si>
    <t>Data was given by the deputy, though not easy getting the same from HOI</t>
  </si>
  <si>
    <t>Getting data easily from HOI</t>
  </si>
  <si>
    <t>Sensitization to head of institutions on the need of the data</t>
  </si>
  <si>
    <t>GACHARAGE SECONDARY SCHOOL - 4cd64eb0-08fd-43c8-b948-7cebbc5e3c91</t>
  </si>
  <si>
    <t>It was easy to use,time saving and it had accurate capture</t>
  </si>
  <si>
    <t>GPS location took long to load in my school please check on that</t>
  </si>
  <si>
    <t>Maybe check on log in issues in the app</t>
  </si>
  <si>
    <t>Its a great for collecting population data</t>
  </si>
  <si>
    <t>ST. JOSEPH THE WORKER HIGH SCHOOL - KEREITA - 25d3c51b-9862-4f63-ac23-7be9660beb0d</t>
  </si>
  <si>
    <t>The process is easier to follow</t>
  </si>
  <si>
    <t>The Kobo tool workers well overall</t>
  </si>
  <si>
    <t>Add an offline mode for areas with poor network to slightly faster loading would help</t>
  </si>
  <si>
    <t>Kobo worked smoothly for data collection</t>
  </si>
  <si>
    <t>DRUMVALE PRIMARY SCHOOL - 318034ee-3f9d-4f38-baf8-d4270628b3c3</t>
  </si>
  <si>
    <t>Location accuracy and showing of population total helps you know where you might have went wrong. One can use different methods of filling in the required data</t>
  </si>
  <si>
    <t>Saving of the draft does not restore all of the info</t>
  </si>
  <si>
    <t>Not requesting initial population data everytime at every submission it is repetitive</t>
  </si>
  <si>
    <t>ATHI RIVER-NJIRU</t>
  </si>
  <si>
    <t>MAUA PRIMARY SCHOOL - 7ac226f3-d1eb-48c5-b127-086806090a34</t>
  </si>
  <si>
    <t>There was no challenges while using the website</t>
  </si>
  <si>
    <t>The website is okay</t>
  </si>
  <si>
    <t>NEW MUKURU PRIMARY SCHOOL - 8ad528aa-78a0-49b2-98ce-05a55c90c2da</t>
  </si>
  <si>
    <t>Easier data collection</t>
  </si>
  <si>
    <t>Automate the process of using the app</t>
  </si>
  <si>
    <t>Everything is ok</t>
  </si>
  <si>
    <t>Good app for data collection</t>
  </si>
  <si>
    <t>KHAOYA ERSF COMPREHENSIVE SCHOOL - 8185f189-5b0b-4112-9e3a-f2becd152233</t>
  </si>
  <si>
    <t>Using  the  tool was so effective</t>
  </si>
  <si>
    <t>KAHUNIRA COMPREHENSIVE SCHOOL - cf38201f-ae42-479e-b55e-090bb6bd6093</t>
  </si>
  <si>
    <t>The population collection process went well due to proper coordination and cooperation from the administration.</t>
  </si>
  <si>
    <t>No challenges faced.</t>
  </si>
  <si>
    <t>There are no issues at the moment, everything proceeded smoothly.</t>
  </si>
  <si>
    <t>KAHUNIRA SECONDARY SCHOOL - aec4854a-b4a7-464e-90ff-7234ac0fa441</t>
  </si>
  <si>
    <t>The population collection process went well due to timely data collection and cooperation from administration</t>
  </si>
  <si>
    <t>There no issues at the moment, everything proceeded smoothly</t>
  </si>
  <si>
    <t>SANG'ALO RC PRIMARY AND JUNIOR SCHOOL - 1801e0b7-561b-433f-9a5c-17dff2e5089c</t>
  </si>
  <si>
    <t>It has make our work simple you just click the kobo app and download the attendance you continue as directed.  It is easy to use it guides you each step as you fill the data you can edit before you send.  It's fast you take less than 5 minutes if already you have the data with you.  Your are sure that your data is sent as it shows you if you data is sent.</t>
  </si>
  <si>
    <t>For the time being it's okay.</t>
  </si>
  <si>
    <t>It's fine as it is.</t>
  </si>
  <si>
    <t>Thanks for the Kobo app and it's features</t>
  </si>
  <si>
    <t>BOHRA ROAD PRIMARY SCHOOL - 914a0d19-e29a-40e6-b2cc-cf7b319fcd68</t>
  </si>
  <si>
    <t>It was easy to access the tool.</t>
  </si>
  <si>
    <t>While using the tool, I did not face any challenge...To me it worked perfectly fine.</t>
  </si>
  <si>
    <t>I would recommend,we be conducting the exercise after every month because the number of kids fluctuate throughout the term.</t>
  </si>
  <si>
    <t>CITY PRIMARY SCHOOL - 9d215500-2a8f-45e4-9334-812938c51b60</t>
  </si>
  <si>
    <t>The site was slow</t>
  </si>
  <si>
    <t>Kindly work out to improve on the speed of the application</t>
  </si>
  <si>
    <t>OBINJU KANYAKWAR COMPREHENSIVE SCHOOL - 246c17eb-2219-469e-bc8e-ee159977cbfb</t>
  </si>
  <si>
    <t>Easy to navigate.</t>
  </si>
  <si>
    <t>KIMENDE HIGH SCHOOL - 8007bb57-51cf-45ad-91a5-428a18a0e511</t>
  </si>
  <si>
    <t>By use of the link, submitting the data was faster</t>
  </si>
  <si>
    <t>Make use of the link and app all effective</t>
  </si>
  <si>
    <t>Make use of the app effective to all,</t>
  </si>
  <si>
    <t>While using the app,it was only giving an option of one school</t>
  </si>
  <si>
    <t>ACK DIOCESE OF MASENO SOUTH MANYATTA PARISH PRIMARY, ECDE, EYE AND JUNIOR SECONDARY SCHOOL - bae845a7-cddf-4df9-80a0-74b6ef1aa4dc</t>
  </si>
  <si>
    <t>The app was really helpful and effective</t>
  </si>
  <si>
    <t>The GPS to be precise</t>
  </si>
  <si>
    <t>The app to me was really efficient</t>
  </si>
  <si>
    <t>MACHAKOS</t>
  </si>
  <si>
    <t>DEB KMC PRIMARY SCHOOL - b8fc16b9-4ebb-4a3d-ac4a-2350ca3780b0</t>
  </si>
  <si>
    <t>The headteacher gave support needed</t>
  </si>
  <si>
    <t>No challenges encountered</t>
  </si>
  <si>
    <t>Just found the tool interractive</t>
  </si>
  <si>
    <t>OBWOLO PRIMARY, ECDE AND JUNIOR SECONDARY - 3b802952-6796-411c-bde4-071c63e3441c</t>
  </si>
  <si>
    <t>●Admin allowed me to collect the population once a week.  Some class teachers were very helpful by providing the numbers without issues.</t>
  </si>
  <si>
    <t>The once a week collection is a good choice so we dont have to interfere with ongoing classes..</t>
  </si>
  <si>
    <t>KISUMU UNION PRIMARY SCHOOL - 83416cb8-c045-4508-9d10-9654506288c7</t>
  </si>
  <si>
    <t>The process is smooth and time saving</t>
  </si>
  <si>
    <t>All is well.</t>
  </si>
  <si>
    <t>ST. MARY'S KIBABII GIRLS BOARDING PRIMARY SCHOOL - 525eebc5-5be2-4e0d-a8f9-e36bc2eb18ff</t>
  </si>
  <si>
    <t>Its was easy to navigate. The interface is great.</t>
  </si>
  <si>
    <t>The app is good. No challenges faced during its use.</t>
  </si>
  <si>
    <t>Make it more simple for everyone to use.</t>
  </si>
  <si>
    <t>BUNGOMA MUSLIM PRIMARY AND JUNIOR SCHOOL - 6310bb0d-0875-44db-8795-b9121210636a</t>
  </si>
  <si>
    <t>I had an easy time getting the school</t>
  </si>
  <si>
    <t>The form is fine .</t>
  </si>
  <si>
    <t>UASIN-GISHU</t>
  </si>
  <si>
    <t>WESTERN - UASIN-GISHU</t>
  </si>
  <si>
    <t>MUTWOT PRIMARY AND JSS - 5d41ed91-27e6-4290-8308-3a014e45df67</t>
  </si>
  <si>
    <t>Server</t>
  </si>
  <si>
    <t>We are expecting more kids on tap2eat</t>
  </si>
  <si>
    <t>It should have better we we get many kid in our school.</t>
  </si>
  <si>
    <t>We can improve by giving the kid what they required</t>
  </si>
  <si>
    <t>We are happy to have many kids being enrollment.</t>
  </si>
  <si>
    <t>GIKABU MWANGAZA PRIMARY - c472a3c8-30ba-4f7e-8dfa-f9d22b9ea38d</t>
  </si>
  <si>
    <t>The admin co-operating with the programs needs.</t>
  </si>
  <si>
    <t>Parents failing to top up</t>
  </si>
  <si>
    <t>Sending timely notification to parents with insufficient funds. Sponsoring more needy students</t>
  </si>
  <si>
    <t>We are doing our best to ensure all the standards are met and all students are treated as equally and needs catered for.</t>
  </si>
  <si>
    <t>ANGIRA PRIMARY AND JUNIOR SECONDARY SCHOOL - 296a9c14-ca40-4240-be46-264761f304c9</t>
  </si>
  <si>
    <t>Everything was smooth</t>
  </si>
  <si>
    <t>MIHANGO PRIMARY SCHOOL - 87768318-03a0-43c4-89d3-7d0e4fdd28aa</t>
  </si>
  <si>
    <t>After this week sensitization our numbers have increased incredibly.1491 is the highest fed (4th June) ever since the term begun</t>
  </si>
  <si>
    <t>Students coming for tapping earlier would have increased our numbers ..they come past time finding food already finished</t>
  </si>
  <si>
    <t>An additional tapper would really help since some kids  avoid our meals or come late for tapping due to the long queues</t>
  </si>
  <si>
    <t>ST. VERONICAH RANJE RC COMPREHENSIVE SCHOOL - 6aab3dea-675d-4436-8ff0-00bf957c0262</t>
  </si>
  <si>
    <t>𝑬𝒗𝒆𝒓𝒚𝒕𝒉𝒊𝒏𝒈 𝒘𝒆𝒏𝒕 𝒘𝒆𝒍𝒍</t>
  </si>
  <si>
    <t>𝑰 𝒕𝒉𝒊𝒏𝒌 𝒂 𝒏𝒐𝒕𝒊𝒇𝒊𝒄𝒂𝒕𝒊𝒐𝒏 𝒄𝒐𝒖𝒍𝒅 𝒃𝒆 𝒎𝒂𝒅𝒆 𝒕𝒐 𝒉𝒆𝒍𝒑 𝒌𝒏𝒐𝒘 𝒊𝒕 𝒉𝒂𝒔 𝒃𝒆𝒆𝒏 𝒓𝒆𝒄𝒆𝒊𝒗𝒆𝒅</t>
  </si>
  <si>
    <t>𝑻𝒐 𝒉𝒆𝒍𝒑 𝒓𝒆𝒅𝒖𝒄𝒆 𝒄𝒂𝒔𝒆𝒔 𝒐𝒇  𝒅𝒐𝒖𝒃𝒍𝒆 𝒔𝒆𝒏𝒅𝒊𝒏𝒈 ...𝑨𝒍𝒍𝒐𝒘 𝒖𝒔 𝒕𝒐 𝒉𝒂𝒗𝒆 𝒂𝒄𝒄𝒆𝒔𝒔 𝒐𝒗𝒆𝒓 𝒓𝒆𝒄𝒐𝒓𝒅 𝒕𝒉𝒂𝒕 𝒊𝒕 𝒉𝒂𝒔 𝒃𝒆𝒆𝒏 𝒓𝒆𝒄𝒆𝒊𝒗𝒆𝒅</t>
  </si>
  <si>
    <t>𝑵/A</t>
  </si>
  <si>
    <t>KAYOLE NORTH PRIMARY SCHOOL - cd95ca3f-6656-4dc1-b9fd-decd8fa542cf</t>
  </si>
  <si>
    <t>It was detailed in data collection</t>
  </si>
  <si>
    <t>The process was not simplified. It is quite complex. Collecting data on a day to day on grade by grade disrupts normal school operations.</t>
  </si>
  <si>
    <t>Attendance to be taken on once in two weeks. Make the process simplified</t>
  </si>
  <si>
    <t>D.N.KIBURI SULMAC SECONDARY SCHOOL - 9b184e8d-2408-46ea-adc6-4c6711bba2b0</t>
  </si>
  <si>
    <t>I am able to track the numbers of students so that I can avoid  under/over projection. I can be able to track the the numbers of students feeding with us</t>
  </si>
  <si>
    <t>Sometimes it has a problem to load the link</t>
  </si>
  <si>
    <t>Keep on improving the system</t>
  </si>
  <si>
    <t>GITHUNGURI JET VIEW PRIMARY - a514212e-f90d-40eb-9624-7b1450f4be0c</t>
  </si>
  <si>
    <t>The features</t>
  </si>
  <si>
    <t>Saving process</t>
  </si>
  <si>
    <t>Having all data available on the platform</t>
  </si>
  <si>
    <t>Our highest numbers were fed yesterday (4th June) since the term begun</t>
  </si>
  <si>
    <t>Kids coming earlier for tapping would have increased our utilization</t>
  </si>
  <si>
    <t>An additional tapper would really help since some of the kids come after meals are over or fail to tap due to the long queues</t>
  </si>
  <si>
    <t>Kids enjoy the meals and appreciate the program</t>
  </si>
  <si>
    <t>KAREN C PRIMARY AND JUNIOR SCHOOL - 2b20e7ca-6dc8-4c5d-a0f4-c0a7d70c31c8</t>
  </si>
  <si>
    <t>I was able to get the Data on time without any challenges.the app was also simless</t>
  </si>
  <si>
    <t>None at the moment</t>
  </si>
  <si>
    <t>You can improve on uploading the documents to be atleast many pages to accommodate all the classes to be captured</t>
  </si>
  <si>
    <t>We are expecting slightly enrollment</t>
  </si>
  <si>
    <t>Sometime we get insufficient in tapping</t>
  </si>
  <si>
    <t>We encourage parents to top up</t>
  </si>
  <si>
    <t>Kid are happy about tapped to eat</t>
  </si>
  <si>
    <t>KONDELE COMPREHENSIVE SCHOOL - fd577ebe-5c02-4915-a7f2-802fb03d2019</t>
  </si>
  <si>
    <t>The admin was cooperative</t>
  </si>
  <si>
    <t>KIAWANDA PRIMARY SCHOOL - 8d672cc1-bab8-4d07-90b9-8abe10e4f47b</t>
  </si>
  <si>
    <t>Auto sum during the excess was great.</t>
  </si>
  <si>
    <t>MURANG'A</t>
  </si>
  <si>
    <t>DECENTRALIZED CENTRAL - MURANG'A</t>
  </si>
  <si>
    <t>MURANGA 1</t>
  </si>
  <si>
    <t>KAMUKABI PRIMARY SCHOOL - dae323ad-b79f-43a0-8d24-f1019635fb02</t>
  </si>
  <si>
    <t>KO</t>
  </si>
  <si>
    <t>Improvement</t>
  </si>
  <si>
    <t>Lack of data</t>
  </si>
  <si>
    <t>Data</t>
  </si>
  <si>
    <t>Okay</t>
  </si>
  <si>
    <t>RWATHIA PRIMARY SCHOOL - ffae4c11-07ac-4127-a5ea-2316d798835c</t>
  </si>
  <si>
    <t>Through campaign the parents have been replacing tags</t>
  </si>
  <si>
    <t>Alert parents early on topping up their accounts through sms</t>
  </si>
  <si>
    <t>By reducing replacement cost</t>
  </si>
  <si>
    <t>Ok</t>
  </si>
  <si>
    <t>MUPELI DEB PRIMARY SCHOOL - 1ab2e32d-9fb2-4543-86de-e01d36d75694</t>
  </si>
  <si>
    <t>Easy to compute data</t>
  </si>
  <si>
    <t>No challenge faced</t>
  </si>
  <si>
    <t>The app is easy to use and understand. Hence seemless navigation.</t>
  </si>
  <si>
    <t>PANGANI PRIMARY SCHOOL - 7212b84a-77c3-47d8-b602-d73ab5b8a3f2</t>
  </si>
  <si>
    <t>Data collection was smooth</t>
  </si>
  <si>
    <t>Total Population collection could be narrowed down to be submitted in two weeks</t>
  </si>
  <si>
    <t>Data should be send to ensure easy access</t>
  </si>
  <si>
    <t>KANJAI COMPREHENSIVE SCHOOL - cad1ce6c-2b69-4450-bf94-15f6bf1dd3fe</t>
  </si>
  <si>
    <t>The information I was given was accurate and on time making it easy for me to complete the task.</t>
  </si>
  <si>
    <t>I had a challenge using the app, it kept saying failed to send and form not active so I was forced to use the link which was a bit slow.</t>
  </si>
  <si>
    <t>Kindly check why the app has a malfunction and why it is failing to send also improve the link.</t>
  </si>
  <si>
    <t>The process was successful and helpful.</t>
  </si>
  <si>
    <t>TIDO PRIMARY AND JUNIOR SCHOOL - 8479409d-0f6e-4030-a1b5-05f8077a2ee8</t>
  </si>
  <si>
    <t>The administration was cooperative and i was able to get the numbers per grade.</t>
  </si>
  <si>
    <t>The coordinates for location took time to load.</t>
  </si>
  <si>
    <t>The population Data should be collected once in a term and do away with the daily attendance.</t>
  </si>
  <si>
    <t>MURANGA 2</t>
  </si>
  <si>
    <t>ELIMAMBO PRIMARY SCHOOL - 7a2ad1b5-694d-482f-bf16-ecb19013ce49</t>
  </si>
  <si>
    <t>On the Gps</t>
  </si>
  <si>
    <t>LIMURU 2</t>
  </si>
  <si>
    <t>GICHURU BOYS HIGH SCHOOL - 813433d6-99dd-4549-adb6-209846a948bc</t>
  </si>
  <si>
    <t>There was a record of the population before feeding started so it was easier to get it.</t>
  </si>
  <si>
    <t>The was no need to collect the population before feeding started because it had already been asked before.</t>
  </si>
  <si>
    <t>We should be taking the current population only because sometimes the admin get upset when they are asked the population before feeding started</t>
  </si>
  <si>
    <t>ST. RAYMONDS PRIMARY - d314adea-e573-4934-ae42-e4247d0822c3</t>
  </si>
  <si>
    <t>The tool was easy to use and well elaborate.</t>
  </si>
  <si>
    <t>Nothing much, it's all good.</t>
  </si>
  <si>
    <t>Everything so far is okay.</t>
  </si>
  <si>
    <t>NYERI</t>
  </si>
  <si>
    <t>DECENTRALIZED CENTRAL - NYERI</t>
  </si>
  <si>
    <t>NYERI 1</t>
  </si>
  <si>
    <t>GITITU PRIMARY SCHOOL - d6d10e52-88a5-4e10-82f3-7a79db55cbae</t>
  </si>
  <si>
    <t>It takes a short time to fill</t>
  </si>
  <si>
    <t>The timeline be extended to at least one week</t>
  </si>
  <si>
    <t>It's okey</t>
  </si>
  <si>
    <t>KINYOGORI PRIMARY SCHOOL - 0b08c1db-46a8-4603-9360-842ae22ffbcd</t>
  </si>
  <si>
    <t>Successful data retrieval from the admin who supported me on getting the correct data and a good tool to input the data</t>
  </si>
  <si>
    <t>I think adding graphical representations of the data would make it look more appealing rather than just the numbers shown</t>
  </si>
  <si>
    <t>Graphical representations of current population against others already taken for our comparison</t>
  </si>
  <si>
    <t>KANAANI PRIMARY SCHOOL - 5b4f62e1-619d-4e18-8cb6-d20252b0cfb8</t>
  </si>
  <si>
    <t>Organized well and optimized properly.</t>
  </si>
  <si>
    <t>Dash board</t>
  </si>
  <si>
    <t>SSD PRIMARY SCHOOL - 7251d6a0-2607-4a49-b39c-36422e6b13cf</t>
  </si>
  <si>
    <t>Collecting data</t>
  </si>
  <si>
    <t>Improving on setting exact school location</t>
  </si>
  <si>
    <t>KANYAMEDHA COMPREHENSIVE SCHOOL - 27aa4dba-05ca-46b9-acc0-02608cb680d3</t>
  </si>
  <si>
    <t>Collecting the population per class rather than stream was easier</t>
  </si>
  <si>
    <t>WANDUHI PRIMARY SCHOOL AND JUNIOR SECONDARY - f2e5afbb-60ea-4a40-b593-e810c1d843ab</t>
  </si>
  <si>
    <t>Good relationship with students and teachers.</t>
  </si>
  <si>
    <t>Not having a serving shade and a store either. Inadequate money for purchasing data</t>
  </si>
  <si>
    <t>By allocating a serving shade and a small store and an increase in salary because someone times we are unable to submit some of the information with immediate effect due to inadequate money to cater for data all the times</t>
  </si>
  <si>
    <t>KIAMUTIGA PRIMARY SCHOOL - 0dab4788-18d6-4e3d-b091-160ac4c9c8a5</t>
  </si>
  <si>
    <t>Though soft copy</t>
  </si>
  <si>
    <t>Kids enjoying the keal</t>
  </si>
  <si>
    <t>By cooking chapatis</t>
  </si>
  <si>
    <t>IYEGO PRIMARY SCHOOL - 45028bf9-1413-4dcd-be06-0baedd9cddd1</t>
  </si>
  <si>
    <t>Data collection was difficult</t>
  </si>
  <si>
    <t>Look for an other alternative</t>
  </si>
  <si>
    <t>Collecting data from the required respondent on daily basis is difficult cuzo they take as if we have became their supervisor</t>
  </si>
  <si>
    <t>MATHARI PRIMARY SCHOOL - 5bd2e2a0-4292-42c8-912f-e50627f5fccf</t>
  </si>
  <si>
    <t>It was great since it add itself with zero error,,</t>
  </si>
  <si>
    <t>Am good</t>
  </si>
  <si>
    <t>TIGONI SECONDARY SCHOOL - 54841464-51db-4c01-b686-3db31e112e23</t>
  </si>
  <si>
    <t>Easier data collection it worked well</t>
  </si>
  <si>
    <t>Earlier data taking and version control</t>
  </si>
  <si>
    <t>Improving data safety</t>
  </si>
  <si>
    <t>PARKROAD PRIMARY AND JUNIOR SECONDARY SCHOOL - 69d85399-70e0-419b-9606-59310e1096b5</t>
  </si>
  <si>
    <t>It was swift</t>
  </si>
  <si>
    <t>Didn't face any challenge</t>
  </si>
  <si>
    <t>It's good</t>
  </si>
  <si>
    <t>NYAITHEE PRIMARY SCHOOL - c116d9de-5287-4e45-9c9c-d3ae2fcfb079</t>
  </si>
  <si>
    <t>Its some how hard but it's good</t>
  </si>
  <si>
    <t>Well send us  a vedio of how to fill the population form</t>
  </si>
  <si>
    <t>Send us a video of how to fill the population form online</t>
  </si>
  <si>
    <t>ZIWANI DAY NURSERY ECDE CENTRE - 45cfffa5-870f-4b65-8248-efc6ab6b65b1</t>
  </si>
  <si>
    <t>The process was quick and easy to access while using the tool</t>
  </si>
  <si>
    <t>No challenge faced during the process.</t>
  </si>
  <si>
    <t>The program is already doing so well from my own point of view I haven't noticed or had any negative feedback concerning the program either from the Center manager or from the parents.</t>
  </si>
  <si>
    <t>KITINDA R.C PRIMARY AND JUNIOR SCHOOL - cb972c83-e71b-4330-a880-7e5f5ff0e79f</t>
  </si>
  <si>
    <t>I was able to know easily the school population</t>
  </si>
  <si>
    <t>It's just ok</t>
  </si>
  <si>
    <t>MUREMA PRIMARY SCHOOL - 90f9cb13-2926-4f20-9b3a-6202893ee7ae</t>
  </si>
  <si>
    <t>It is easy to use and also it keeps track of the information filled just for when I needed to log off and then I'd come back again to continue filling</t>
  </si>
  <si>
    <t>With the app didn't have much challenges but with the link it kept on lagging</t>
  </si>
  <si>
    <t>I am generally satisfied so I wouldn't have alot of points to improve on</t>
  </si>
  <si>
    <t>MIAGAYUINI COMPREHENSIVE SCHOOL - 4e07205b-de63-41b0-bafd-8ad4539befd4</t>
  </si>
  <si>
    <t>The update of school population</t>
  </si>
  <si>
    <t>Day to day  enrolment</t>
  </si>
  <si>
    <t>Atleast we correct the data on Monday &amp; Friday due to inconvenience</t>
  </si>
  <si>
    <t>Together we can do more</t>
  </si>
  <si>
    <t>BUKANANACHI FYM PRIMARY AND JUNIOR SCHOOL - aef7120f-6748-468e-9904-3d6e68602a2d</t>
  </si>
  <si>
    <t>The population was collected well class per class. There was no errors during collection compared to last term.</t>
  </si>
  <si>
    <t>Main challenge was school dropout and transfers. During collection some kids were absent and we had assurances that they will report back.</t>
  </si>
  <si>
    <t>To improve on this we need to have more time on collection of population.</t>
  </si>
  <si>
    <t>I comment that the work is good and program has really loved by many.</t>
  </si>
  <si>
    <t>THARE PRIMARY AND JUNIOR SECONDARY SCHOOL - 42e445ad-ae85-49f0-9c46-cd1c558fa152</t>
  </si>
  <si>
    <t>The population collection went well.</t>
  </si>
  <si>
    <t>Filling the form once in  a week.</t>
  </si>
  <si>
    <t>We can choose a day to be filling the form.</t>
  </si>
  <si>
    <t>WEITHAGA PRIMARY SCHOOL - a711f456-eef2-4870-94f2-9303169b40c2</t>
  </si>
  <si>
    <t>9.7 best option</t>
  </si>
  <si>
    <t>0.3 sometimes delays</t>
  </si>
  <si>
    <t>A bit more</t>
  </si>
  <si>
    <t>KIHINGO PRIMARY SCHOOL - bb09727b-dcf7-4bc1-83b6-95c209a9a66c</t>
  </si>
  <si>
    <t>Makes work easier.saves time.</t>
  </si>
  <si>
    <t>Use alot of data.</t>
  </si>
  <si>
    <t>Kindly add some data to us.</t>
  </si>
  <si>
    <t>RWAKA PRIMARY SCHOOL - fe6f0ff6-a32a-4916-9d89-155f260af2bc</t>
  </si>
  <si>
    <t>Head counting</t>
  </si>
  <si>
    <t>Sometimes learners are sent home without the being notified</t>
  </si>
  <si>
    <t>Effective and efficient communication from the administration should be enhanced</t>
  </si>
  <si>
    <t>KAGIRA PRIMARY AND JUNIOR SECONDARY SCHOOL - 555c9b6f-87ad-449f-83a1-7e8116818dc0</t>
  </si>
  <si>
    <t>Able to track my students turn out , able to collect data on time</t>
  </si>
  <si>
    <t>Slow internet affected data entry</t>
  </si>
  <si>
    <t>Provide offline data entry option</t>
  </si>
  <si>
    <t>Overall the process was smooth and helped in monitoring students attendance</t>
  </si>
  <si>
    <t>THE KINYANJUI ROAD PRIMARY SCHOOL - 9d599d8a-49ac-43ff-ae98-35aa34c5e943</t>
  </si>
  <si>
    <t>They school admin was cooperative</t>
  </si>
  <si>
    <t>Everything was okay just had challanges with location</t>
  </si>
  <si>
    <t>KANYANJARA PRIMARY AND JUNIOR SCHOOL - c768b799-b121-4465-ab8c-4dc73d9d436e</t>
  </si>
  <si>
    <t>Since I had been taken through the training I found it workable.</t>
  </si>
  <si>
    <t>I feel the process was ok, though my terminal only allowed me to do it online.</t>
  </si>
  <si>
    <t>For me to do it offline next time my Kobo app is requesting for authentication.</t>
  </si>
  <si>
    <t>GIATUTU PRIMARY AND JSS - f18ca77f-03fb-4515-be95-d3f2e237cab7</t>
  </si>
  <si>
    <t>It went well.</t>
  </si>
  <si>
    <t>Network.</t>
  </si>
  <si>
    <t>Network connection.</t>
  </si>
  <si>
    <t>It's was good though.</t>
  </si>
  <si>
    <t>GITITHIA SECONDARY SCHOOL - 7103bf47-baab-47c9-8fe0-832af4f628a4</t>
  </si>
  <si>
    <t>The school was cooperative in giving the numbers</t>
  </si>
  <si>
    <t>Better Support.</t>
  </si>
  <si>
    <t>Collecting the data was easier because the deputy head of institution assisted me to get accurate data. Also I didn't encounter any challenges while filling in.</t>
  </si>
  <si>
    <t>Everything was perfect</t>
  </si>
  <si>
    <t>ACK DIOCESE OF MASENO SOUTH EZRA GUMBE COMPREHENSIVE SCHOOL - d1290711-1616-4662-94f0-e2efb5365da2</t>
  </si>
  <si>
    <t>Kobo was easy to use</t>
  </si>
  <si>
    <t>Data collection was collected successfully i,i didn't experience any challenges</t>
  </si>
  <si>
    <t>SAMOYA RC PRIMARY SCHOOL - 1c3c426f-58ae-4b13-8427-d1ac458143b0</t>
  </si>
  <si>
    <t>It's simple to use it</t>
  </si>
  <si>
    <t>NGUIRUBI SECONDARY SCHOOL - 3e3a2045-054b-4379-b97d-fba001b5e031</t>
  </si>
  <si>
    <t>Teachers support was there and it helped a lot.Teamwork among the staffs.Organisation and scheduling where by data collection was done class by class with minimal disruptions to lesson.</t>
  </si>
  <si>
    <t>It could have better when you PDAs stay with every population of each school that is before the programme started so when it comes to collect the kobo you just give out because when the admins are reshuffled it becomes harder to get the population.</t>
  </si>
  <si>
    <t>Improvement on the students who have transferred to be no more counted from the school they were.</t>
  </si>
  <si>
    <t>Great improvement so far.</t>
  </si>
  <si>
    <t>SIKATA RC PRIMARY AND JUNIOR SCHOOL - 5966c2fc-0836-46b2-8c0a-2fe620b4ab89</t>
  </si>
  <si>
    <t>Grade by grade data insertion</t>
  </si>
  <si>
    <t>Class Sum to be calculated</t>
  </si>
  <si>
    <t>At the moment it's much well</t>
  </si>
  <si>
    <t>The app is user friendly</t>
  </si>
  <si>
    <t>HUHO-INI COMPREHENSIVE SCHOOL - 27a11d35-bbaa-4548-9dbc-4063a5feb185</t>
  </si>
  <si>
    <t>Filling was easy but location failed</t>
  </si>
  <si>
    <t>If the location worked out easily</t>
  </si>
  <si>
    <t>Making the location part easier or excluding it it's a big challenge</t>
  </si>
  <si>
    <t>Getting the location was my major challenge it never went through after many trials</t>
  </si>
  <si>
    <t>NGARA EAST DAY NURSERY - 990bbeb2-770e-4a8a-9efe-8dfc60d8f6b0</t>
  </si>
  <si>
    <t>Very efficient and easy to answer the questions</t>
  </si>
  <si>
    <t>The tool is good.</t>
  </si>
  <si>
    <t>Increase it efficiency by making more easy to use</t>
  </si>
  <si>
    <t>ST. PAUL'S KANYAKWAR COMPREHENSIVE SCHOOL - e3fa1ac1-c0eb-4daa-b3ed-094b4d0a4149</t>
  </si>
  <si>
    <t>The whole process was delicious easy</t>
  </si>
  <si>
    <t>There was no challenge</t>
  </si>
  <si>
    <t>To make the process continuous without breaks</t>
  </si>
  <si>
    <t>KARIGUINI PRIMARY - ef2e1e9a-c6b5-43b2-b442-d86ba158a307</t>
  </si>
  <si>
    <t>Data collection went well</t>
  </si>
  <si>
    <t>If data collection is not done daily</t>
  </si>
  <si>
    <t>It would be better if data collection is taken once in a week since the administration says it doesn't collect data on daily bases</t>
  </si>
  <si>
    <t>WANGUNYU COMPREHENSIVE SCHOOL - ce9d6896-f53d-4a78-9e46-7a45922fbd54</t>
  </si>
  <si>
    <t>There was a challenge when collecting the GPS</t>
  </si>
  <si>
    <t>ST. MARY'S KIBABII BOYS COMPREHENSIVE SCHOOL - 35cbc487-c5f3-4a8b-a994-2903dd6d4c75</t>
  </si>
  <si>
    <t>Easy to execute tasks.It's also fast</t>
  </si>
  <si>
    <t>THUITA PRIMARY SCHOOL - GATANGA - b0bd4266-b1bb-4681-8d35-8a77d034c8b2</t>
  </si>
  <si>
    <t>The headteacher coparated</t>
  </si>
  <si>
    <t>To me everything is fine</t>
  </si>
  <si>
    <t>OUR LADY OF NAZARETH PRIMARY - 71cfab5a-4d59-414d-badf-9bd3e55e4e18</t>
  </si>
  <si>
    <t>Easy to input</t>
  </si>
  <si>
    <t>KAMITI PRIMARY SCHOOL - b8282cdd-07b2-46ef-ac8f-c4b5abd5a2bf</t>
  </si>
  <si>
    <t>Easier way of data entry</t>
  </si>
  <si>
    <t>Keep doing it as you are</t>
  </si>
  <si>
    <t>Any advancing idea will be welcomed</t>
  </si>
  <si>
    <t>Glad that you asked</t>
  </si>
  <si>
    <t>RIRUTA SATELLITE PRIMARY AND JUNIOR SCHOOL - ee9e2ff4-2737-4c41-bcc5-ddbe4740f8d6</t>
  </si>
  <si>
    <t>The data collection was easier because of the automatic update system.</t>
  </si>
  <si>
    <t>N_A</t>
  </si>
  <si>
    <t>GIATHIEKO COMPREHENSIVE SCHOOL - bb5b7e2e-08a6-4ef2-a88c-aa91f44a0763</t>
  </si>
  <si>
    <t>It was easy, simple and saves on time</t>
  </si>
  <si>
    <t>ITHANG'ARARI PRIMARY AND JSS - 01ced5fa-58b2-4dc4-b44b-c32d8d1e13ae</t>
  </si>
  <si>
    <t>Nothing.its good</t>
  </si>
  <si>
    <t>WANJERERE PRIMARY SCHOOL - 04436318-07fc-4a91-9370-98a9b1fb1169</t>
  </si>
  <si>
    <t>From the FPO to AOO chain of commands now the work is easier</t>
  </si>
  <si>
    <t>Make parents understand what is Tap2eat.</t>
  </si>
  <si>
    <t>We work so closely with teachers.educate parents in meetings about Tap2eat.</t>
  </si>
  <si>
    <t>Glad to work with you 🙏</t>
  </si>
  <si>
    <t>Number of students remained constant</t>
  </si>
  <si>
    <t>Manual deductions (students losing their tag and parent  refusing to make payments for replacement)</t>
  </si>
  <si>
    <t>Bring fruits more often .Still students complain about beans they prefer cowpeas</t>
  </si>
  <si>
    <t>From  the  f.p.o to Aoo now  management  goes  well.</t>
  </si>
  <si>
    <t>Make parents  understand  what is  taps 2eat</t>
  </si>
  <si>
    <t>We work closely with  teachers.</t>
  </si>
  <si>
    <t>Happy  working with you 🙏</t>
  </si>
  <si>
    <t>SHAURI MOYO DAY NURSERY - 0b32872d-5328-4453-b94a-dc827dce4de5</t>
  </si>
  <si>
    <t>Feeding kids</t>
  </si>
  <si>
    <t>Feeding the future</t>
  </si>
  <si>
    <t>BY changing rice with something else</t>
  </si>
  <si>
    <t>The food is nutritious and good for children</t>
  </si>
  <si>
    <t>RIRONI SECONDARY SCHOOL - 9c4549ec-3634-4c89-a380-dfb7b7fe8a6c</t>
  </si>
  <si>
    <t>Co-operation, good rapport, communication</t>
  </si>
  <si>
    <t>I don't have any challenges collecting the data</t>
  </si>
  <si>
    <t>The system is okay 👍</t>
  </si>
  <si>
    <t>NDAKAINI PRIMARY SCHOOL - 59c9c16d-4f18-4b32-89f4-328ee2fb259a</t>
  </si>
  <si>
    <t>It was easy to fill</t>
  </si>
  <si>
    <t>Given ample time to collect the data</t>
  </si>
  <si>
    <t>Notifying administration about information needed before sending us to the office</t>
  </si>
  <si>
    <t>EMUKABA PRIMARY SCHOOL - 1685324f-c7cc-4f20-8881-10ba346083d7</t>
  </si>
  <si>
    <t>Filling in the data wasn't tedious</t>
  </si>
  <si>
    <t>Using the app is better already</t>
  </si>
  <si>
    <t>GATHAITHI UPPER PRIMARY SCHOOL - 36394450-b69c-4def-8e44-7dca1d8ebd6e</t>
  </si>
  <si>
    <t>By use of the admin</t>
  </si>
  <si>
    <t>The same</t>
  </si>
  <si>
    <t>By communicating with admin</t>
  </si>
  <si>
    <t>The students have been enjoying the food</t>
  </si>
  <si>
    <t>It was easy to identify kids who are not feeding</t>
  </si>
  <si>
    <t>It's ok</t>
  </si>
  <si>
    <t>MUKARARA HIGHSCHOOL - f5070282-ef17-45fb-9201-1e546cde67f2</t>
  </si>
  <si>
    <t>It was really smooth to use.</t>
  </si>
  <si>
    <t>The fact that someone can use it online and offline I think it's perfect</t>
  </si>
  <si>
    <t>Guide to help the person who is filling it</t>
  </si>
  <si>
    <t>Overall it was great</t>
  </si>
  <si>
    <t>On date</t>
  </si>
  <si>
    <t>RIRUTA HGM PRIMARY SCHOOL - 49646d6e-f0d6-4881-80d1-d081f82392e6</t>
  </si>
  <si>
    <t>During data collection the admin was very supportive. While in need anything concerning data admin and teachers are very supportive</t>
  </si>
  <si>
    <t>At the beginning its was challenging but now is effective</t>
  </si>
  <si>
    <t>While visiting school kindly talk to admin in importance of data collection</t>
  </si>
  <si>
    <t>But daily attendance is somehow challenging because at time you class teacher is absent and you end up head counting</t>
  </si>
  <si>
    <t>KIAIBABU PRIMARY SCHOOL - b92bbe61-df75-4964-8a65-b00acc50095b</t>
  </si>
  <si>
    <t>It's simple to use</t>
  </si>
  <si>
    <t>Good as it is</t>
  </si>
  <si>
    <t>RONALD NGALA PRIMARY AND JUNIOR SECONDARY SCHOOL - 18129222-65f6-411a-a69a-976d2946b92e</t>
  </si>
  <si>
    <t>It was easier to key in the figures as well as the summations</t>
  </si>
  <si>
    <t>Na</t>
  </si>
  <si>
    <t>All good</t>
  </si>
  <si>
    <t>NGONG FOREST PRIMARY SCHOOL - 3e078b28-612c-4f1c-a952-51055de979f8</t>
  </si>
  <si>
    <t>The system is well working .</t>
  </si>
  <si>
    <t>Everything is good</t>
  </si>
  <si>
    <t>Nothing.</t>
  </si>
  <si>
    <t>DR. MUTHIORA PRIMARY AND JUNIOR SECONDARY SCHOOL - aeaf3a8d-cd54-44bb-abf7-139995e287ef</t>
  </si>
  <si>
    <t>The admin was cooperative making the exercise seamless.</t>
  </si>
  <si>
    <t>Allow more than document to be uploaded as evidence because the admin sometimes gives the primary and JSS data on different pages</t>
  </si>
  <si>
    <t>If the tool can allow adding more than one document since the school offers the data on different pages like the primary section and the JSS section.</t>
  </si>
  <si>
    <t>DAGORETTI MUSLIM PRIMARY AND JUNIOR SECONDARY SCHOOL - 67a6197a-36d7-4f31-ab7b-83d572723b27</t>
  </si>
  <si>
    <t>I was able to know the number of kids in my school and identify those who don't eat with us</t>
  </si>
  <si>
    <t>Atlist we don't repeat the same process everyday</t>
  </si>
  <si>
    <t>Keep the records for reference whenever needed</t>
  </si>
  <si>
    <t>SINOKO DEB PRIMARY AND JUNIOR SCHOOL - b5f7d645-72d1-4d4c-b512-70029669acbf</t>
  </si>
  <si>
    <t>Population data collection went well because I was helped by class teacher to gather data and used app to fill the data which was ok</t>
  </si>
  <si>
    <t>Kobotool  App is the best because it is  easy to fill</t>
  </si>
  <si>
    <t>ST. ANN AND JOAKIM SECONDARY SCHOOL - 0ad4fd63-54a9-4446-a72d-a17469607b12</t>
  </si>
  <si>
    <t>I was able to take every detail and actual numbers from the school</t>
  </si>
  <si>
    <t>Involve every class teacher for more information about the numbers</t>
  </si>
  <si>
    <t>Inform the adminstration for accurate information</t>
  </si>
  <si>
    <t>It make work easier.quick to feed information.Data protection ie third party can't access data</t>
  </si>
  <si>
    <t>Collecting some information especially on daily basis ,eg school attendance is difficult because is like we are taking a role of their superior's.</t>
  </si>
  <si>
    <t>Come up with better process that can be used to collect school attendance</t>
  </si>
  <si>
    <t>The process is awesome ,maintain it</t>
  </si>
  <si>
    <t>KAGIRA HIGH - 77800009-c3b0-47b1-a5b7-8279d89dd033</t>
  </si>
  <si>
    <t>The school refused to give out the details</t>
  </si>
  <si>
    <t>For me I have not participated but I believe it's good</t>
  </si>
  <si>
    <t>I would love to take a step and talk to the school adminstration on how important it is for her to allow me participate in this</t>
  </si>
  <si>
    <t>WANGU PRIMARY AND JUNIOR SCHOOL, ECDE CENTRE AND SPECIAL UNIT - e20444fb-1323-471a-b743-932a0b75ee20</t>
  </si>
  <si>
    <t>I submitted my data via kobo collect app successfully</t>
  </si>
  <si>
    <t>Improve on drop down mostly sub  county county  abd picking school on personal phone</t>
  </si>
  <si>
    <t>Prefer we continue with working with kobo app not link ,</t>
  </si>
  <si>
    <t>I had challenge in filing the data using my personal phone because I refreshed the link but no drop down for sub region and school</t>
  </si>
  <si>
    <t>NGINDA PRIMARY SCHOOL - a0846785-3c40-46ef-8239-787451cbb8e7</t>
  </si>
  <si>
    <t>The great thing is that we appreciate your support .wins ,we have learnt more mostly on the new AppSheet hoping for better days to win together.</t>
  </si>
  <si>
    <t>The only challenge is that some students have been affected by the cowpeas ..but  most of them enjoyed.</t>
  </si>
  <si>
    <t>Continue with same spirit.</t>
  </si>
  <si>
    <t>NDERU PRIMARY SCHOOL - 8f723835-12e3-4ffd-8b4f-448c5f8a587b</t>
  </si>
  <si>
    <t>It worked effectively without fail or delay.</t>
  </si>
  <si>
    <t>NGEI PRIMARY SCHOOL - 0914c417-e8ff-4ddd-aba7-d97b15e82725</t>
  </si>
  <si>
    <t>Once access the was possible, the process was a bit smooth</t>
  </si>
  <si>
    <t>Direct link of the app</t>
  </si>
  <si>
    <t>It was tedious opening up the app</t>
  </si>
  <si>
    <t>KIAWAROGA PRIMARY SCHOOL - f2e4b66f-b3fb-40fc-8c8b-79209655c2c1</t>
  </si>
  <si>
    <t>Easy to maneuver</t>
  </si>
  <si>
    <t>No challenges faced</t>
  </si>
  <si>
    <t>KWA MANGELI PRIMARY SCHOOL - f19e7bf3-fa6f-41f2-b52f-e57d7483a29c</t>
  </si>
  <si>
    <t>It was simple and clear.No struggling while using it.</t>
  </si>
  <si>
    <t>For me there were no challenges</t>
  </si>
  <si>
    <t>We be doing this thing twice a term since after conducting it there are some kids who join later as new comers and others transfer to other schools  interfering with the numbers</t>
  </si>
  <si>
    <t>KAREGA PRIMARY SCHOOL - d5d94050-864a-44f8-8782-70774250dfa7</t>
  </si>
  <si>
    <t>The administration have been very much willing to assist</t>
  </si>
  <si>
    <t>Collecting it after two weeks</t>
  </si>
  <si>
    <t>it would be better for you to be informing them first before we go to the office</t>
  </si>
  <si>
    <t>NDURARUA PRIMARY AND JUNIOR SCHOOL - 6efd5c11-b793-4077-90e0-7309f710f9ad</t>
  </si>
  <si>
    <t>I didn't have a hard time keying the data through the link</t>
  </si>
  <si>
    <t>I was not able to collect the data because the admin wants a letter from the subcouny director</t>
  </si>
  <si>
    <t>To send messages to the admin before data collection so that we won't have a hard time getting the data</t>
  </si>
  <si>
    <t>PCEA GATHANGARI COMPREHENSIVE SCHOOL - 3d6986f7-663a-40c3-b631-b15d1ed4cecc</t>
  </si>
  <si>
    <t>The admin cooperated in giving the information on time</t>
  </si>
  <si>
    <t>Everything was good</t>
  </si>
  <si>
    <t>IMARA COMPREHENSIVE SCHOOL - 3c3860d4-5d8d-440f-bf76-16f758d7b61a</t>
  </si>
  <si>
    <t>Their was no tabulation in that it was automatic</t>
  </si>
  <si>
    <t>It works best with general population instead of per class per gender</t>
  </si>
  <si>
    <t>Minimise per class per gender to general population of girls and boys</t>
  </si>
  <si>
    <t>It's not tedious when merged</t>
  </si>
  <si>
    <t>THAWABU COMPREHENSIVE SCHOOL - 443ae518-1bfa-4ada-862e-ff6753ea96c5</t>
  </si>
  <si>
    <t>The input of data in kobo collect is precise and clear</t>
  </si>
  <si>
    <t>Collection Gps of the school took a lot of time.It wasn't automatic.The GPS part should be improved</t>
  </si>
  <si>
    <t>Make the GPS collection the location automatically</t>
  </si>
  <si>
    <t>BONDENI COMPREHENSIVE SCHOOL - fb1c8bdd-7a90-4d2d-86d3-f2aaa8ab48a7</t>
  </si>
  <si>
    <t>The app automatically populates the total number of boys and girls after data entry, reducing manual calculations and errors. The draft-saving feature allows us to save our progress and revisit forms later for review and correction before final submission.</t>
  </si>
  <si>
    <t>The app does not allow backdating of data entries, making it difficult to capture information for previous dates when necessary.</t>
  </si>
  <si>
    <t>Allow users to backdate data entries when necessary.</t>
  </si>
  <si>
    <t>The administration was very willing to help</t>
  </si>
  <si>
    <t>We be collecting it after two weeks</t>
  </si>
  <si>
    <t>You be informing the administration first before we reach to them</t>
  </si>
  <si>
    <t>It was easy to Navigate</t>
  </si>
  <si>
    <t>UPPERHILL DAY NURSERY SCHOOL - 5c9b956d-ce62-44a1-b500-d398db43f840</t>
  </si>
  <si>
    <t>The school admin did not hesitate to provide data.</t>
  </si>
  <si>
    <t>KIAMBURURU SECONDARY SCHOOL - a29d8bbd-aa9c-4f13-b725-bb1f7ba7dff2</t>
  </si>
  <si>
    <t>Accuracy in the collection was topnotch.Very organized documentation.coordinated with the HOI and the school secretary to obtain required information on time.</t>
  </si>
  <si>
    <t>Some records like baseline information went missing.occasional inconsistencies btwn class registers and administrative records.Delayment in receiving the Data.</t>
  </si>
  <si>
    <t>Conducting regular updates of students record through out the term.Provide maybe training and guidance to staff involved in data collection and management.Encourage prompt reporting of students admissions, transfer and withdrawals.</t>
  </si>
  <si>
    <t>With this it will improve the completeness.</t>
  </si>
  <si>
    <t>ST. TERESA'S SIO RC COMPREHENSIVE SCHOOL - 0c91999b-70dd-4cc7-a228-698dedc843ae</t>
  </si>
  <si>
    <t>Easy to fill</t>
  </si>
  <si>
    <t>NGOORU PRIMARY SCHOOL - 3c7abb79-944a-44ea-87f7-1084a73ae61f</t>
  </si>
  <si>
    <t>Process is good and simple</t>
  </si>
  <si>
    <t>Finances has been  a challenge when it comes to purchasing data</t>
  </si>
  <si>
    <t>I recommend that we fill links within the working hours to avoid extra expenses inform of data</t>
  </si>
  <si>
    <t>ST. MARY'S KAREN COMPREHENSIVE SCHOOL - d9c29182-7c55-40a0-ac27-241c72bde22b</t>
  </si>
  <si>
    <t>It was the first time using the app and it was great</t>
  </si>
  <si>
    <t>No any challenges</t>
  </si>
  <si>
    <t>For now am okay since it was the first time</t>
  </si>
  <si>
    <t>It was nice and good experience trying something new</t>
  </si>
  <si>
    <t>MANGUO SECONDARY SCHOOL - af21e1a4-ef32-4c91-b90f-9f8b09663c41</t>
  </si>
  <si>
    <t>It was good because  the administration help me with the school population and also the stamp,The communication with them helps me alot.</t>
  </si>
  <si>
    <t>Continue  having good communication  with the staff and students.</t>
  </si>
  <si>
    <t>Communication with the students and informing them the important of Eat with us and also to remind them to carry their meal cards and to remind their parents to also top up on time so that their will not miss lunch</t>
  </si>
  <si>
    <t>MORRISON PRIMARY AND JUNIOR SECONDARY SCHOOL - 0652abdf-28bc-4ff2-a27e-2cbaa5e7681d</t>
  </si>
  <si>
    <t>The tool was fast and taking of the location was precise</t>
  </si>
  <si>
    <t>Taking the total figure of each Grade</t>
  </si>
  <si>
    <t>Enabling it to take accurate figure of the final figure, it was slow to reflect after keying in the figures of each Grade including boys and girls</t>
  </si>
  <si>
    <t>KAREGA PRIMARY SCHOOL AND JUNIOR SECONDARY - 6047c95e-e340-4e85-ac20-4be47f2c7a84</t>
  </si>
  <si>
    <t>It's easier to fill</t>
  </si>
  <si>
    <t>If you shorten the format</t>
  </si>
  <si>
    <t>CHIEF MUTSEMBI COMPREHENSIVE PRIMARY - 609303b4-0611-4203-b00f-b28de0077b8a</t>
  </si>
  <si>
    <t>The process was fast and smooth since i had full cooperatikn from the teachers.</t>
  </si>
  <si>
    <t>The only challenge i experienced, the update of the app was not automated, you had to uninstall it fast.</t>
  </si>
  <si>
    <t>The app was great working with.</t>
  </si>
  <si>
    <t>The kobocollect tool worked effectively and efficiently.</t>
  </si>
  <si>
    <t>RUTHIMITU PRIMARY AND JUNIOR SECONDARY SCHOOL - d580bffb-e618-4c18-9386-fc07846123bc</t>
  </si>
  <si>
    <t>Ive not had any challenges using it.Its efficient and save time when loading data.</t>
  </si>
  <si>
    <t>Maybe location wise as you configure location when loading it takes alot of time</t>
  </si>
  <si>
    <t>Improve on configuring someones location if it can be faster.</t>
  </si>
  <si>
    <t>P.C.E.A MATUGUTA SECONDARY SCHOOL - 0ec76800-9ab0-4cec-b6f7-3b6b9c3f56a3</t>
  </si>
  <si>
    <t>The school was cooperative in sharing data</t>
  </si>
  <si>
    <t>It was all good</t>
  </si>
  <si>
    <t>KINYONA PRIMARY SCHOOL - 972238d3-c787-4985-b645-19bf9500e0a4</t>
  </si>
  <si>
    <t>School attendance  was good</t>
  </si>
  <si>
    <t>More manual deductions</t>
  </si>
  <si>
    <t>Reduce cost of tag replacement</t>
  </si>
  <si>
    <t>KIBERA PRIMARY SCHOOL - 40fad6c6-cfa9-4547-9a7d-ad6fb91c7e05</t>
  </si>
  <si>
    <t>Personally  it as been so easy  and good  to manage.</t>
  </si>
  <si>
    <t>It has good  idea for improving  our numbers  since  you normally  monitor  yr number  on a daily  basis</t>
  </si>
  <si>
    <t>ZIWA LA NG'OMBE COMPREHENSIVE SCHOOL - c76ad088-1484-4bc2-88e2-2654094a5e6f</t>
  </si>
  <si>
    <t>Collection of the data was faster</t>
  </si>
  <si>
    <t>It could have been better if the data needed did not specify on Grade by grade breakdown</t>
  </si>
  <si>
    <t>Not including the grade by grade breakdown</t>
  </si>
  <si>
    <t>NYANJEGA PRIMARY SCHOOL - 58eb7a5b-6933-4941-b1ab-779f0936daa7</t>
  </si>
  <si>
    <t>My school doesn't have that many kids so the collection hasn't  been  that hard</t>
  </si>
  <si>
    <t>Probably  making  the data collection twice a week rather than everyday</t>
  </si>
  <si>
    <t>Probably making the data collection  twice a week or thrice</t>
  </si>
  <si>
    <t>OFAFA JERICHO PRIMARY SCHOOL - 615f69bc-3816-43c3-949c-f834c1103454</t>
  </si>
  <si>
    <t>The tool was easy to use and the auto-filling of boys' and girls' data was quite impressive.</t>
  </si>
  <si>
    <t>The main challenge was collecting the baseline population data, especially where records had not been well maintained.</t>
  </si>
  <si>
    <t>All information should be maintained in the F4E database so that it can be easily accessed whenever it is unavailable from the school administration. In some cases, the head teachers were new to the schools and were not even aware of when the program started.</t>
  </si>
  <si>
    <t>The process was awesome</t>
  </si>
  <si>
    <t>WANDUMBI PRIMARY AND JUNIOR SECONDARY SCHOOL - 5a73e1a2-94d7-4783-82df-aad8696927ff</t>
  </si>
  <si>
    <t>lack of enough time</t>
  </si>
  <si>
    <t>To be given more time</t>
  </si>
  <si>
    <t>Time line should be extended</t>
  </si>
  <si>
    <t>Work load is still in creasing due to online duties</t>
  </si>
  <si>
    <t>ST. MARYS PRIMARY - MURANGA - f96ceac8-246c-49d2-8d78-630fe20c4d38</t>
  </si>
  <si>
    <t>The day is well done</t>
  </si>
  <si>
    <t>To escalate when problem comes</t>
  </si>
  <si>
    <t>We want team work</t>
  </si>
  <si>
    <t>HARAMBEE PRIMARY SCHOOL - 1b96a262-5acc-4543-9720-723cdfadc9ec</t>
  </si>
  <si>
    <t>It was easy to use and well functioning.</t>
  </si>
  <si>
    <t>UNITY COMPREHENSIVE SCHOOL - 7da17da5-39aa-49b0-b49b-d7816950f554</t>
  </si>
  <si>
    <t>Everything went well.</t>
  </si>
  <si>
    <t>Nothing,I didn't face any challenge.</t>
  </si>
  <si>
    <t>I don't think any improvements should be made.</t>
  </si>
  <si>
    <t>MUTUINI PRIMARY AND JUNIOR SECONDARY SCHOOL - ccd1792e-f95d-410d-bcd7-d2faa184f5cf</t>
  </si>
  <si>
    <t>The data provided was already at the deputies office and it was easy to be given out and fill the form</t>
  </si>
  <si>
    <t>The tool could show us how many students are registered in a particular school.</t>
  </si>
  <si>
    <t>Kindly provide the baseline information from the tap2eat system because this data is not available at school level.</t>
  </si>
  <si>
    <t>Kobo collect is easy to use.</t>
  </si>
  <si>
    <t>GATUNE PRIMARY AND JUNIOR SCHOOL - 389c6ec4-48df-4135-91a3-398802e89e20</t>
  </si>
  <si>
    <t>Data collection conducted successfully with no challenges encoutered</t>
  </si>
  <si>
    <t>There were no difficulties in collecting the data</t>
  </si>
  <si>
    <t>Data collection exercise is good so as to know the attendance of the learners</t>
  </si>
  <si>
    <t>GITUGI PRIMARY SCHOOL - 4d51f092-825e-4792-ae4d-589e7eb846de</t>
  </si>
  <si>
    <t>Student tapped in large numbers</t>
  </si>
  <si>
    <t>If all students have tags</t>
  </si>
  <si>
    <t>By encouraging all students to have tags</t>
  </si>
  <si>
    <t>NEMBU PRIMARY SCHOOL - 7c7e684f-8def-4180-9f03-664a9d0cc08c</t>
  </si>
  <si>
    <t>The system automatically adds up the total number of kids</t>
  </si>
  <si>
    <t>The streams break down. Because going round the entire school with different streams uses more time than just keying in the numbers per stream.</t>
  </si>
  <si>
    <t>MUTUINI HIGH SCHOOL - 41004662-156f-45d7-8387-e1f7ae51798b</t>
  </si>
  <si>
    <t>I was able to get data of students per stream with the help of class teachers by  them providing the attendance of the students in the classeses</t>
  </si>
  <si>
    <t>If maybe we would have been better if we had  a letter to give the administration that states why we need the school data so that the can give us information without a lot of doubt.</t>
  </si>
  <si>
    <t>Maybe provide a document with where the person providing information or data can sign as a prove she/he is the one who provided the information.</t>
  </si>
  <si>
    <t>NJIRU PRIMARY SCHOOL - c1be9f77-0ea4-4962-a859-fcd87cb10326</t>
  </si>
  <si>
    <t>The admin were willing to give the data to us, so that it may help us dor better planning.</t>
  </si>
  <si>
    <t>No challenge was faced at my school during data collection</t>
  </si>
  <si>
    <t>To give incentives to teachers who help us in doing data collection when needed</t>
  </si>
  <si>
    <t>OLKERI PRIMARY SCHOOL - 7c9af42a-b8f6-4d63-8650-811a63b8c875</t>
  </si>
  <si>
    <t>Getting the school enrollment data from the administration officials,was quite okay.</t>
  </si>
  <si>
    <t>The only challenge I had was accessing the Kobo up but I used the link instead because the app did do quite well for me but if it had then it could have been better.</t>
  </si>
  <si>
    <t>Nothing specific since the online link worked well for me it's all good.</t>
  </si>
  <si>
    <t>In general everything worked out just fine during the data collection exercise.</t>
  </si>
  <si>
    <t>Filling the details was good</t>
  </si>
  <si>
    <t>Taking location</t>
  </si>
  <si>
    <t>Excluding the location part twas a challenge</t>
  </si>
  <si>
    <t>Make the location part easier</t>
  </si>
  <si>
    <t>GITHIORO COMPREHENSIVE PRIMARY SCHOOL - af45c4de-da36-4e93-8166-7a7d97f26069</t>
  </si>
  <si>
    <t>The class teacher gave out the information needed willingly.</t>
  </si>
  <si>
    <t>The app and website is good for now.</t>
  </si>
  <si>
    <t>DR. LIVINGSTONE PRIMARY AND JUNIOR SECONDARY SCHOOL - 1bb45c9a-4241-4d3c-833d-aa5c6542df2c</t>
  </si>
  <si>
    <t>Putting data was much easier</t>
  </si>
  <si>
    <t>For now everything was better</t>
  </si>
  <si>
    <t>Currently it's okay</t>
  </si>
  <si>
    <t>The Kobo is easier to use</t>
  </si>
  <si>
    <t>KIWANJA PRIMARY SCHOOL - 508f9c78-9ccd-41cd-b9d0-4ed340335caf</t>
  </si>
  <si>
    <t>I didn't have to calculate  the total. Cobo did it by itself</t>
  </si>
  <si>
    <t>Everything was okay.</t>
  </si>
  <si>
    <t>Everything was good .</t>
  </si>
  <si>
    <t>Cobo is good for collecting population</t>
  </si>
  <si>
    <t>GICHUMBU PRIMARY SCHOOL - fc05e1a9-b6e2-4878-8d68-a3cab47a3ec0</t>
  </si>
  <si>
    <t>The great</t>
  </si>
  <si>
    <t>Time</t>
  </si>
  <si>
    <t>The time to get the information</t>
  </si>
  <si>
    <t>KADZANDANI COMPREHENSIVE SCHOOL - 31d2a679-f0ee-4d3d-b5ae-1efc044fc0f8</t>
  </si>
  <si>
    <t>The app usage was smooth and user friendly.</t>
  </si>
  <si>
    <t>Everything was perfect on my end.</t>
  </si>
  <si>
    <t>I think we are good to go.</t>
  </si>
  <si>
    <t>TOI PRIMARY AND JUNIOR SCHOOL - 95e5d899-76bd-443f-b891-adaf0ddb11fd</t>
  </si>
  <si>
    <t>The Daily Data collection went well,, I was able to get the exact daily attendance per class</t>
  </si>
  <si>
    <t>Sometimes it's was challenging to get the exact population when kids have been sent back home</t>
  </si>
  <si>
    <t>We</t>
  </si>
  <si>
    <t>MANGUO PRIMARY SCHOOL - 4c3d137a-45f4-4b99-a60c-dfa81c661995</t>
  </si>
  <si>
    <t>It was easier when the population was given by Admin.</t>
  </si>
  <si>
    <t>The daily Attendance kindly make it be total Girls and Boys,Going per class is giving us problems with the teachers.They are tired of seeing us everyday.</t>
  </si>
  <si>
    <t>Adjust the attendance to simple totals</t>
  </si>
  <si>
    <t>KANDUYI DEB PRIMARY SCHOOL - bb88a6ff-51bd-4636-8dda-5bef6dfd1506</t>
  </si>
  <si>
    <t>It makes work easier for it is faster</t>
  </si>
  <si>
    <t>Kobo is just ok</t>
  </si>
  <si>
    <t>GATUNGURU KARIARA PRIMARY AND JSS - 8d714280-5e10-40d5-9147-a4b7bebe2e8d</t>
  </si>
  <si>
    <t>Teachers  support. Sponsored student</t>
  </si>
  <si>
    <t>Absentee</t>
  </si>
  <si>
    <t>Increase sponsored</t>
  </si>
  <si>
    <t>LIMURU MISSION PRIMARY SCHOOL - d834ba5d-8efe-46a7-8bd0-f9e340069dec</t>
  </si>
  <si>
    <t>It's very easy to enter the data.</t>
  </si>
  <si>
    <t>The auto calculator on the total population could be containing a programming error.</t>
  </si>
  <si>
    <t>I feel the tool was adequate for now.</t>
  </si>
  <si>
    <t>My first submission was not recorded on the back end.</t>
  </si>
  <si>
    <t>UMOJA PRIMARY SCHOOL - 440b1041-bc7d-4b01-ab17-5db8954242b0</t>
  </si>
  <si>
    <t>It was very easy because the class teacher where very cooperative to give the data correctly</t>
  </si>
  <si>
    <t>Having a system where by we can be entering data ourselves</t>
  </si>
  <si>
    <t>Have a system of entering data not manual</t>
  </si>
  <si>
    <t>SALAMA PRIMARY AND JUNIOR SECONDARY SCHOOL - be33f5ad-b8e2-453b-90fb-ea82e2d387f3</t>
  </si>
  <si>
    <t>The process was smooth.</t>
  </si>
  <si>
    <t>No challenges were faced, so far so good.</t>
  </si>
  <si>
    <t>None at the moment.</t>
  </si>
  <si>
    <t>GITIHA SECONDARY SCHOOL - 7c2768c0-7857-49d8-b7b1-b674d4a2bdff</t>
  </si>
  <si>
    <t>I got all the information required on time,the app worked well</t>
  </si>
  <si>
    <t>The gps tracking,it kept loading and loading</t>
  </si>
  <si>
    <t>Improve on the gps tracking</t>
  </si>
  <si>
    <t>WANYAGA PRIMARY SCHOOL AND JUNIOR SECONDARY - ed12b221-e832-41b9-9ce2-12c006565066</t>
  </si>
  <si>
    <t>Kids fed regularly</t>
  </si>
  <si>
    <t>Absentism of students</t>
  </si>
  <si>
    <t>Encourage parents on topping up regularly</t>
  </si>
  <si>
    <t>The program is gud</t>
  </si>
  <si>
    <t>OUR LADY OF MERCY PRIMARY AND JUNIOR SECONDARY SCHOOL - 5e8e0efa-cf0a-4295-a6ff-2ba02eba7899</t>
  </si>
  <si>
    <t>All went well</t>
  </si>
  <si>
    <t>Everything is ok.</t>
  </si>
  <si>
    <t>BUKNA PRIMARY AND JUNIOR SECONDARY SCHOOL - 08856eb0-ae89-4195-ba2b-e657a967e11c</t>
  </si>
  <si>
    <t>Kobo collect app was easy to use. The school admin was cooperative.</t>
  </si>
  <si>
    <t>No challenge was faced.</t>
  </si>
  <si>
    <t>None for now.</t>
  </si>
  <si>
    <t>THARUNI PRIMARY SCHOOL - 487ecd49-e409-489f-87eb-21af001054c4</t>
  </si>
  <si>
    <t>On calculation. It makes work easier.</t>
  </si>
  <si>
    <t>I didn't face any challenge.</t>
  </si>
  <si>
    <t>I think it would be easier for the baseline information to be feed to each school so that you don't keep going to the admin for the same information every term.</t>
  </si>
  <si>
    <t>RWEGETHA PRIMARY SCHOOL - 406f8dc9-e3b5-455d-aefb-b7ecb6dcc3cb</t>
  </si>
  <si>
    <t>Actual meals are increasing</t>
  </si>
  <si>
    <t>Many manual deductions</t>
  </si>
  <si>
    <t>Encourage parents to do tag replacement</t>
  </si>
  <si>
    <t>KAMBURU SECONDARY SCHOOL - a9624582-9898-44c3-91b6-88b188fa38ce</t>
  </si>
  <si>
    <t>Everything went well</t>
  </si>
  <si>
    <t>KIUNYU PRIMARY SCHOOL - 0164044e-4b37-4451-a700-0748e6d6768a</t>
  </si>
  <si>
    <t>Wen collecting data helped us be updated with the students we have in school</t>
  </si>
  <si>
    <t>For now everything was good</t>
  </si>
  <si>
    <t>Be giving us a duration of one week to complete with data collection</t>
  </si>
  <si>
    <t>GITIRI PRIMARY AND JSS - 63ec3b83-801d-42d3-9e8b-3c52315c59df</t>
  </si>
  <si>
    <t>Then number of students who were absent wasn't that higher as expected</t>
  </si>
  <si>
    <t>It could have been better if all the students were present at school and during tapping</t>
  </si>
  <si>
    <t>We hope the absentism does not rise</t>
  </si>
  <si>
    <t>GITHIGA COMPREHENSIVE SCHOOL - 9fcfaa91-15cc-48c5-b0e0-bb41bb0b1342</t>
  </si>
  <si>
    <t>Data entry  per every  class and how it adds up all totals also smooth  connections.</t>
  </si>
  <si>
    <t>RWAITIRA PRIMARY AND JSS - d7e1cb99-f819-4226-847b-e474cc223634</t>
  </si>
  <si>
    <t>Serving the learners</t>
  </si>
  <si>
    <t>To add more variety of fruits</t>
  </si>
  <si>
    <t>Reducing payment</t>
  </si>
  <si>
    <t>MUKUYU SECONDARY SCHOOL - a25bd0dc-1e14-48ba-a2ce-15babc0a777b</t>
  </si>
  <si>
    <t>Two students who were not feeding with us got a sponsor</t>
  </si>
  <si>
    <t>Reporting time has been a challenge</t>
  </si>
  <si>
    <t>If we can be added at least one hour we can be able to complete all our duties</t>
  </si>
  <si>
    <t>PCEA GITHUNGURI COMPREHENSIVE SCHOOL - d24a98e0-cc3b-4dd3-b1b4-e0f51ed4401f</t>
  </si>
  <si>
    <t>The administration gave the permission to get the data from the class teachers</t>
  </si>
  <si>
    <t>The headteacher is new hence couldn't get the baseline data</t>
  </si>
  <si>
    <t>KAHATIA PRIMARY SCHOOL - 500df151-06ff-4832-b9fa-879402db0404</t>
  </si>
  <si>
    <t>All was awesome</t>
  </si>
  <si>
    <t>N/ A</t>
  </si>
  <si>
    <t>KAMONJONI PRIMARY AND JUNIOR SCHOOL - 7d3ee5f2-4f29-4692-942c-2bd26999663f</t>
  </si>
  <si>
    <t>I had and easy time using the app</t>
  </si>
  <si>
    <t>I didn't like how I had to send the data multiple time because it wasn't reflecting despite sending it alot of times</t>
  </si>
  <si>
    <t>Ensure that data reflects after sending once</t>
  </si>
  <si>
    <t>NGUNGUGU PRIMARY AND JSS - a6bb7566-f6dc-471a-98f4-10f28de9a08d</t>
  </si>
  <si>
    <t>The Hol gives the population</t>
  </si>
  <si>
    <t>Taking the gps</t>
  </si>
  <si>
    <t>Any other ways of collecting population</t>
  </si>
  <si>
    <t>The gps is challenging</t>
  </si>
  <si>
    <t>CHIEF WANDIE PRIMARY SCHOOL - df54dadf-3cbf-4764-b515-19cd899b4880</t>
  </si>
  <si>
    <t>The link worked really well for me because after entering the data from paper, I was able to confirm that what I had matched the totals on the link, which made me more confident with my data.</t>
  </si>
  <si>
    <t>I tried using the app and submitting the form, but it kept showing an error saying the form is not active.</t>
  </si>
  <si>
    <t>The app should be improved to reduce errors during form submission.</t>
  </si>
  <si>
    <t>Overall, the experience was good. The link was smooth and helpful in confirming the accuracy of the data entered</t>
  </si>
  <si>
    <t>KIHUMBUINI PRIMARY SCHOOL - MURANG'A - e0664128-c7cf-49d8-af2c-c1487161b7a4</t>
  </si>
  <si>
    <t>Smooth and easy collection</t>
  </si>
  <si>
    <t>Some questions took longer to answer</t>
  </si>
  <si>
    <t>Make the tool faster and simple to use</t>
  </si>
  <si>
    <t>BONDENI PRIMARY - KAKAMEGA - aabed855-a70d-460a-92bc-dc6150c768df</t>
  </si>
  <si>
    <t>MUKARARA PRIMARY AND JUNIOR SECONDARY SCHOOL - ee545288-6655-4c9c-8dfb-e90e24e551ac</t>
  </si>
  <si>
    <t>There was a slight increase in population. The school administration was cooperative and provided the required enrollment data promptly. The data collection exercise was completed smoothly and successfully.</t>
  </si>
  <si>
    <t>The exercise was generally smooth, and no major challenges were experienced.</t>
  </si>
  <si>
    <t>Continue with the current approach and maintain timely communication and coordination with school before the exercise.</t>
  </si>
  <si>
    <t>The enrollment data collection process was generally smooth and well coordinated. The cooperation of the school administration and teachers greatly contributed to the successful completion of the exercise.</t>
  </si>
  <si>
    <t>OLYMPIC PRIMARY AND JUNIOR SCHOOL - f6220418-d176-452e-a780-9b0a28bff684</t>
  </si>
  <si>
    <t>Collection of the data was quite easy because the school provided the enrollment immediately.Increase in numbers with atleast 200 students.The toolbox is easy to understand.Separation of gender also helps one to understand their numbers quite well</t>
  </si>
  <si>
    <t>Variations with enrollment and information provided by teachers maybe due to late updates on teachers end.</t>
  </si>
  <si>
    <t>So far so good the toolbox is well understandable and helps compile all the figure making it easy</t>
  </si>
  <si>
    <t>KARIGU-INI SECONDARY SCHOOL - 54c3d414-8733-4a24-bfeb-7b1e07d95579</t>
  </si>
  <si>
    <t>The process was smooth</t>
  </si>
  <si>
    <t>I faced no challenge during the data collection process</t>
  </si>
  <si>
    <t>No complaint</t>
  </si>
  <si>
    <t>BABA DOGO PRIMARY AND JUNIOR SECONDARY SCHOOL - b2ed333c-3911-474b-9d42-9d0fed4f31e3</t>
  </si>
  <si>
    <t>The data collection process and the tool used was okay, admission was supportive.</t>
  </si>
  <si>
    <t>We the people(SC/SL) on ground should be provided with enough information about the need of population data collection so that when we are asked on the same by school admission, we should have same reason across.</t>
  </si>
  <si>
    <t>Organization should meeting with the school admin on their data integrity.</t>
  </si>
  <si>
    <t>MM CHANDARIA PRIMARY AND JUNIOR SECONDARY SCHOOL - cfb3d8b2-383d-4963-ad5b-8ce8d53fdf8c</t>
  </si>
  <si>
    <t>Data collection was smooth.Didnt experience  any challenge while using the link.</t>
  </si>
  <si>
    <t>MUKARARA PRIMARY SCHOOL - MURANG'A - 11132a42-9ac2-47ad-a1dd-ff4b3df8e629</t>
  </si>
  <si>
    <t>Student aways come one time during tapping time,the number of insufficient funds has decreased due to parents topping up...</t>
  </si>
  <si>
    <t>For ones we need you add for us more data...for efficiency work</t>
  </si>
  <si>
    <t>You be reminding parents to top-up</t>
  </si>
  <si>
    <t>We may need more data for efficiency work</t>
  </si>
  <si>
    <t>ST. AGNES IKONYERO PRIMARY - f2074bc9-4190-4b40-83e7-47c769ab51a7</t>
  </si>
  <si>
    <t>The institution provided the school population with ease and on time</t>
  </si>
  <si>
    <t>If the ecde part was separated as per stages ie PP1 and PP2 info separated so that its filled separately (per stream)</t>
  </si>
  <si>
    <t>I just found the tool user friendly and easy to use</t>
  </si>
  <si>
    <t>GARISSA ROAD COMPREHENSIVE SCHOOL - dc52bc85-70cd-45fe-b7af-2529cbe5ca3f</t>
  </si>
  <si>
    <t>The app is very fast, accurate data</t>
  </si>
  <si>
    <t>I think you guys are perfect in this the app is very, 👏👏</t>
  </si>
  <si>
    <t>Giving more time since most of the administration are very slow giving out the data</t>
  </si>
  <si>
    <t>Kobo it's the best app i have come across</t>
  </si>
  <si>
    <t>NEW KIHUMBUINI PRIMARY AND JUNIOR SECONDARY SCHOOL - 0e1daaa6-2750-4806-a7a4-91f3e5d4e5f3</t>
  </si>
  <si>
    <t>It was easier to capture the population because it was arranged in an orderly manner.</t>
  </si>
  <si>
    <t>I didn't face any challenge</t>
  </si>
  <si>
    <t>We can improve by Enhancing the design</t>
  </si>
  <si>
    <t>ST. STEPHANIE MIGUTA PRIMARY AND JSS - de4eff5a-f0ad-45da-aaf8-8bbf4a8a6f87</t>
  </si>
  <si>
    <t>All went . I was able to get accurate data from the HOI</t>
  </si>
  <si>
    <t>Not all devices have the drop down of school names and regions</t>
  </si>
  <si>
    <t>NGARARIGA COMPREHENSIVE SCHOOL - f8d5c079-ba26-45cc-85ec-bb3ddd459ef6</t>
  </si>
  <si>
    <t>The Tool is well refined and easy to use</t>
  </si>
  <si>
    <t>Please make the baseline data accessible on our end so we can access it whenever needed without having to request it each time.</t>
  </si>
  <si>
    <t>The tool could be refined to capture only the overall number per class instead of separating boys and girls.</t>
  </si>
  <si>
    <t>RONGAI PRIMARY SCHOOL - d5727447-e2f4-4521-8f7f-3161a03121da</t>
  </si>
  <si>
    <t>The system being able to give totals without doing it manually it manually</t>
  </si>
  <si>
    <t>None because everything was okay</t>
  </si>
  <si>
    <t>GITHAMBIA PRIMARY SCHOOL - f35d8cbc-3284-4702-a69d-4bcff4c52bca</t>
  </si>
  <si>
    <t>The cooperation between the administration and us</t>
  </si>
  <si>
    <t>Being given enough time to collect the data</t>
  </si>
  <si>
    <t>The administration to be informed first before any data collection</t>
  </si>
  <si>
    <t>All is well,no challenges</t>
  </si>
  <si>
    <t>GATATHA COMPREHENSIVE SCHOOL - 653a6cc9-92fc-4a50-94ce-040d2fd52715</t>
  </si>
  <si>
    <t>I was able to reach out to parents and they responded positively about program</t>
  </si>
  <si>
    <t>Reduced number in manual deductions</t>
  </si>
  <si>
    <t>Always sending messages to parents and emphasise to help the children replace their tags</t>
  </si>
  <si>
    <t>KIA-ORA - 38a130fc-a7c2-45a6-856a-8ace977e3742</t>
  </si>
  <si>
    <t>I was able to be given the school enrollment grade by grade by the school admin</t>
  </si>
  <si>
    <t>Location became a challenge for me to get</t>
  </si>
  <si>
    <t>For me all is well location became a challenge because my school is quite interior</t>
  </si>
  <si>
    <t>NYAGA ECDE, PRIMARY AND JUNIOR SCHOOL - GATANGA - 67b1482c-0f45-4dc0-8111-97d953d09173</t>
  </si>
  <si>
    <t>Thewriting of the grade pergrade</t>
  </si>
  <si>
    <t>KIGWE PRIMARY SCHOOL - b0a02e3c-0214-4e91-9d1c-32ef73ea38fd</t>
  </si>
  <si>
    <t>The head of institution cooperation.The app is easy to use.</t>
  </si>
  <si>
    <t>I was satisfied with the overall experience</t>
  </si>
  <si>
    <t>I did not identify any areas that requires improvement</t>
  </si>
  <si>
    <t>The app is very fast</t>
  </si>
  <si>
    <t>I think you guys are doing the best</t>
  </si>
  <si>
    <t>SHITAHO COMMUNITY PRIMARY - 48382195-ac96-4464-ae72-b7f734b5fa49</t>
  </si>
  <si>
    <t>The app is easy to interact with and sometimes data can be collected and saved offline as draft before submission online.</t>
  </si>
  <si>
    <t>The apps performance and interface are very good</t>
  </si>
  <si>
    <t>CIIKO PRIMARY - d32a2f2b-b020-4e47-aaff-8744db62f947</t>
  </si>
  <si>
    <t>How the app makes the work easier i like it.</t>
  </si>
  <si>
    <t>Some devices downloading the forms the app is not responding</t>
  </si>
  <si>
    <t>UHURU GARDENS PRIMARY AND JUNIOR SCHOOL - ffd7ef9b-696f-4c88-87c3-93c6d914c5e5</t>
  </si>
  <si>
    <t>The fact that by just feeding in the numbers the totals were calculated for you. That was a good initiative.</t>
  </si>
  <si>
    <t>It well understood. No challenge was encountered.</t>
  </si>
  <si>
    <t>As for now, I have none. I appreciate your efforts towards attaining the data collection</t>
  </si>
  <si>
    <t>KANGEMI PRIMARY SCHOOL - 8537d27d-15d3-4277-a81e-ba5663104adf</t>
  </si>
  <si>
    <t>The administration was very helpful in collecting this data</t>
  </si>
  <si>
    <t>The tool would work better with saved drafts whenever you exit the tool</t>
  </si>
  <si>
    <t>Be able to access the submitted document incase you need to adjust the figures</t>
  </si>
  <si>
    <t>MAHIA - INI PRIMARY AND JUNIOR SCHOOL - 2e8c1615-551c-4e0c-b71f-48baa766ddc3</t>
  </si>
  <si>
    <t>It was easier to enter data. I don't have to put totals at the end.</t>
  </si>
  <si>
    <t>Sometimes it's hard to get the correct numbers</t>
  </si>
  <si>
    <t>If possible ECDE to have its own category</t>
  </si>
  <si>
    <t>KASARANI PRIMARY SCHOOL - 1156248c-3eb6-4ea1-a621-d206fcbd0872</t>
  </si>
  <si>
    <t>The administration was open to sharing the enrollment data and clearly how the numbers ranges were similar and provided a copy of the same</t>
  </si>
  <si>
    <t>After sending the link it still shows an error of a pending upload</t>
  </si>
  <si>
    <t>The link should open to an exact region and cluster with the schools to save on the back and forth of figuring region the cluster they school it's redundant and problematic since our emails are linked to our respective schools and cluster</t>
  </si>
  <si>
    <t>NGEMWA PRIMARY AND JUNIOR SCHOOL - 49745dfa-521f-4006-bae3-59b286d0d90f</t>
  </si>
  <si>
    <t>It's was faster</t>
  </si>
  <si>
    <t>It's was okay</t>
  </si>
  <si>
    <t>It's was okay on my side</t>
  </si>
  <si>
    <t>Work is good</t>
  </si>
  <si>
    <t>We want data</t>
  </si>
  <si>
    <t>To be professional</t>
  </si>
  <si>
    <t>Salary isn't okay</t>
  </si>
  <si>
    <t>CHOMO PRIMARY SCHOOL - 1094db51-be11-49e6-92d0-0b6e8f2d88c9</t>
  </si>
  <si>
    <t>It helped get the actual learners.</t>
  </si>
  <si>
    <t>It it had come direct from the office to Hoi</t>
  </si>
  <si>
    <t>Directly connect to the Hoi</t>
  </si>
  <si>
    <t>Headteacher coparated</t>
  </si>
  <si>
    <t>AK MAGUGU COMPREHENSIVE SCHOOL - f6c61f5e-3e7f-4691-8066-bfc9407c08fb</t>
  </si>
  <si>
    <t>It was easier to access and workable</t>
  </si>
  <si>
    <t>Access was limited-only with data bundles</t>
  </si>
  <si>
    <t>Ensure we can access the data which were incomplete</t>
  </si>
  <si>
    <t>GAITHURI PRIMARY SCHOOL - d57bc943-7394-46fe-97f3-cb7cf663a304</t>
  </si>
  <si>
    <t>The population collected was true as it was from the administration</t>
  </si>
  <si>
    <t>They send to you direct instead of liasing with us</t>
  </si>
  <si>
    <t>Communication on our end and on the administration end</t>
  </si>
  <si>
    <t>It was successful</t>
  </si>
  <si>
    <t>IKINU PRIMARY SCHOOL - 6d3224af-94db-46a9-9678-8745e68d1210</t>
  </si>
  <si>
    <t>The tool is user friendly and direct. The School administration was supportive in allowing me get the needed data.</t>
  </si>
  <si>
    <t>There were no challenges experienced other than the school not having baseline population records.</t>
  </si>
  <si>
    <t>Honestly, so far the process is working well because it provides flexibility. we can either use the offline method through the kobocollect  app or the online method via the provided link</t>
  </si>
  <si>
    <t>GACHUI DAY NURSERY - c325b8c7-f8dd-4f66-9512-8573f72c62b7</t>
  </si>
  <si>
    <t>The number of succeful taps went increasing day by day while parents topped up day by day</t>
  </si>
  <si>
    <t>The taste of the food was getting better every day</t>
  </si>
  <si>
    <t>Most of the kids preffer yellow beans</t>
  </si>
  <si>
    <t>The food is always delicious</t>
  </si>
  <si>
    <t>GAKURARI PRIMARY SCHOOL - ae3562d2-5f6b-4d0a-b6ef-b733a650aaec</t>
  </si>
  <si>
    <t>The HOI helps us getting the data population of the school</t>
  </si>
  <si>
    <t>Getting information from headteacher was the bast</t>
  </si>
  <si>
    <t>To take data monthly</t>
  </si>
  <si>
    <t>ENOOMATASIANI COMPREHENSIVE SCHOOL - b4cf03e1-8532-45d5-899b-0e658f1e7438</t>
  </si>
  <si>
    <t>Everything was easy to fill in the data collection. It was well simplified.</t>
  </si>
  <si>
    <t>It's good so far.</t>
  </si>
  <si>
    <t>TOLL MODEL PRIMARY SCHOOL - 95076950-5d53-4157-a235-c1a846d9c5a2</t>
  </si>
  <si>
    <t>Maximum cooperation from the admin</t>
  </si>
  <si>
    <t>Automation of previous term data</t>
  </si>
  <si>
    <t>Send bundles for the same</t>
  </si>
  <si>
    <t>KARURI COMPREHENSIVE SCHOOL - f84b8d32-579a-49a0-9454-2bed7d669196</t>
  </si>
  <si>
    <t>The administration cooperated during the data collection by giving the data.</t>
  </si>
  <si>
    <t>The data that is in the administration is different with that the class teachers have. So you have to collect the data both from the administration and the class teachers.</t>
  </si>
  <si>
    <t>Having administration meetings regularly.</t>
  </si>
  <si>
    <t>LENANA PRIMARY SCHOOL - 7280ec97-ae26-4e57-bd16-c57a76d08238</t>
  </si>
  <si>
    <t>Online link was fast and accessible.Form was clear and easy to navigate.Form loaded fast and submitted data instantly.</t>
  </si>
  <si>
    <t>GPS /latitude and longitude was slow.</t>
  </si>
  <si>
    <t>Allow manual correction if GPS fails.</t>
  </si>
  <si>
    <t>Lenana population data collection was smooth overall.</t>
  </si>
  <si>
    <t>MUKHAWELI MMK TOWNSHIP PRIMARY SCHOOL - cc32e2d2-af3a-4b19-b46d-89007df32e5b</t>
  </si>
  <si>
    <t>Gps detection was top notch.Faced no problem navigating</t>
  </si>
  <si>
    <t>Maybe improve on login credentials. They seem obvious for anyone to guess the credentials</t>
  </si>
  <si>
    <t>KISERIAN PRIMARY SCHOOL - bb1322ea-89ce-40e5-bb5a-da344a1f0f51</t>
  </si>
  <si>
    <t>All was well as I was provided with relevant data</t>
  </si>
  <si>
    <t>I think this is the best approach as you did it, training first then collection</t>
  </si>
  <si>
    <t>GPS/latitude - longitude capture was slow.</t>
  </si>
  <si>
    <t>KAMUNYAKA KIUMU PRIMARY AND JSS - 190c9c43-7516-42bf-bf38-6ccea35de5c0</t>
  </si>
  <si>
    <t>The Headteacher gave us maximum support.</t>
  </si>
  <si>
    <t>It was okey.</t>
  </si>
  <si>
    <t>Possible for it to be filled while offline?</t>
  </si>
  <si>
    <t>BATHI SECONDARY SCHOOL - ddef04f7-d29f-4fd2-a454-b4e04776b702</t>
  </si>
  <si>
    <t>I used the link and it was efficient</t>
  </si>
  <si>
    <t>The terminal can't access location hence I had to use my phone</t>
  </si>
  <si>
    <t>Find a way we can use the terminal to get the population</t>
  </si>
  <si>
    <t>UTANGE COMPREHENSIVE SCHOOL - d6fd2db0-ffc4-49ac-973c-98be4430164e</t>
  </si>
  <si>
    <t>No challenge encounter.we had a supportive document from the admin</t>
  </si>
  <si>
    <t>Thumbs up</t>
  </si>
  <si>
    <t>MATUGUTA PRIMARY SCHOOL - 65953b05-58ca-49ad-811d-ca8696428681</t>
  </si>
  <si>
    <t>It was easy to fill the data</t>
  </si>
  <si>
    <t>Everything worked well for me</t>
  </si>
  <si>
    <t>JUJA ROAD PRIMARY SCHOOL - 4e39a645-f1d7-4ae4-b404-42bf09864adb</t>
  </si>
  <si>
    <t>They have paid attention to details kudos</t>
  </si>
  <si>
    <t>N/C</t>
  </si>
  <si>
    <t>GATUMBIRO COMPREHENSIVE SCHOOL - a3e88bf6-1142-467d-a9cf-adaebc7a483c</t>
  </si>
  <si>
    <t>Parents topping up.</t>
  </si>
  <si>
    <t>What could better is to insist the parents topping up</t>
  </si>
  <si>
    <t>We can improve when we can work as team</t>
  </si>
  <si>
    <t>LWANDA FYM PRIMARY AND JUNIOR SCHOOL - 335d7e06-1a36-4e71-b28d-62054fa05d0b</t>
  </si>
  <si>
    <t>It was easy in entering numbers for population</t>
  </si>
  <si>
    <t>I did not have any challenge.</t>
  </si>
  <si>
    <t>Reducing some levels</t>
  </si>
  <si>
    <t>ST. MONICA'S MUNGETI PRIMARY SCHOOL - ceb4b3f4-d00d-4401-80d9-88f4cbdf9ae8</t>
  </si>
  <si>
    <t>The population take is smooth using the app</t>
  </si>
  <si>
    <t>GITEME PRIMARY AND JSS - 8c42b135-3e34-4517-9879-1a5f3f68553a</t>
  </si>
  <si>
    <t>It's easier to fill and technology wise it quick.</t>
  </si>
  <si>
    <t>Bt Hol are making data collection to be more difficult, there is a challenge when collecting the data.they say we need more data management.</t>
  </si>
  <si>
    <t>Ongezeni HOI kitu bana it's hard for us back here,ju Kuna vile they phlase it haibabi walai.</t>
  </si>
  <si>
    <t>NYAGA SECONDARY SCHOOL - f46d14f2-f333-4eb5-874e-cc2a86fa9f1b</t>
  </si>
  <si>
    <t>Well defined and organized.</t>
  </si>
  <si>
    <t>Have one data collection for population to prevent confusion</t>
  </si>
  <si>
    <t>ST. ANTHONY WALALA PRIMARY AND JSS - eaa65c2c-42fa-4580-a3ec-d332d0e88983</t>
  </si>
  <si>
    <t>Real time data</t>
  </si>
  <si>
    <t>Let up continue with this exercise as it helps us improve our improve on the numbers</t>
  </si>
  <si>
    <t>NL</t>
  </si>
  <si>
    <t>NYANJEGA SECONDARY SCHOOL - f5ee8d74-15e6-4631-97e1-91e90756abf2</t>
  </si>
  <si>
    <t>It made data collection easy. It is easy to use.</t>
  </si>
  <si>
    <t>I did not have a challenge</t>
  </si>
  <si>
    <t>Allow one to send data even if all fields are not filled</t>
  </si>
  <si>
    <t>LUYEKHE R.C PRIMARY AND JUNIOR SCHOOL - edeafb15-0d70-4805-baad-5aa3c9d341d7</t>
  </si>
  <si>
    <t>Data was collected consistently and accurately..</t>
  </si>
  <si>
    <t>There were no major challenges experienced during the use of the app...</t>
  </si>
  <si>
    <t>No improvements needed as the app is working effectively.</t>
  </si>
  <si>
    <t>The tool is efficient and reliable for data collection. It supported smooth tracking and reporting throughout the week...</t>
  </si>
  <si>
    <t>KAMANDURA PRIMARY SCHOOL - 88749edf-a89e-4161-9858-feb118296448</t>
  </si>
  <si>
    <t>Easy to use.It's not complicated</t>
  </si>
  <si>
    <t>It's okay</t>
  </si>
  <si>
    <t>KIBIKU PRIMARY AND JUNIOR SCHOOL - d2ecd73e-e66f-4aa0-b287-6d7f96c0d8e9</t>
  </si>
  <si>
    <t>The link is easy to use</t>
  </si>
  <si>
    <t>The drop down in the online link takes time to load.</t>
  </si>
  <si>
    <t>Using an Excel to collect the data is much easier</t>
  </si>
  <si>
    <t>GIKUU PRIMARY SCHOOL - 46c2fd9b-7c7f-4fe9-b187-68f753e753dc</t>
  </si>
  <si>
    <t>Keep sending messages to parents whose their accounts are sufficients</t>
  </si>
  <si>
    <t>To motivates kitchens</t>
  </si>
  <si>
    <t>MAKUTANO SA PRIMARY SCHOOL - f70ea5bc-f4b5-4287-b3b4-03f08255759d</t>
  </si>
  <si>
    <t>The KoBoCollect tool was easy to use, with a clear interface that made data collection and submission efficient. Data collection was accurate and timely, reducing errors and improving the quality of information captured. The overall process was well coordinated, with clear guidelines and smooth support that enabled successful completion of all required activities.</t>
  </si>
  <si>
    <t>The process could be improved through enhanced user training, faster synchronization in areas with poor internet connectivity, and additional technical support to address challenges promptly and improve overall efficiency.</t>
  </si>
  <si>
    <t>Improve by providing regular user training, strengthening internet connectivity, offering timely technical support, and simplifying data collection forms to enhance efficiency and accuracy.</t>
  </si>
  <si>
    <t>I successfully got the population data</t>
  </si>
  <si>
    <t>I had no challenges</t>
  </si>
  <si>
    <t>To have supporting documents to share with the HOI for easy access of the population data</t>
  </si>
  <si>
    <t>NALUTIRI S/A PRIMARY AND JUNIOR SCHOOL - c6f8de33-0057-4bcf-b133-5f31ecc7636b</t>
  </si>
  <si>
    <t>The process of population collection using Kobo has been smooth so far since the app is so fast and doesn't lag.</t>
  </si>
  <si>
    <t>Having to double take headcount some days because of kids being sent home for school fees and them coming back in small numbers throughout the day.</t>
  </si>
  <si>
    <t>Reduce the number of days of collecting population data to only on Fridays so as to ensure accurate data collection.</t>
  </si>
  <si>
    <t>OASIS PRIMARY SCHOOL - 7f63729e-b317-4679-8b1a-c6e1bc3cb2d6</t>
  </si>
  <si>
    <t>Everything went well..I didn't experience any challenge</t>
  </si>
  <si>
    <t>.</t>
  </si>
  <si>
    <t>It's excellent</t>
  </si>
  <si>
    <t>Keep it up</t>
  </si>
  <si>
    <t>MARURA PRIMARY AND JUNIOR SECONDARY SCHOOL - 5db23f41-497f-47a2-9ab7-688d283814a3</t>
  </si>
  <si>
    <t>The form was well curated and direct.</t>
  </si>
  <si>
    <t>The form to be open directly through the app instead of the link.</t>
  </si>
  <si>
    <t>ILLULA INTEGRATED PRIMARY AND JSS - 1c5fb58d-fff0-403a-b56a-b4c8e2c82c6c</t>
  </si>
  <si>
    <t>the process was smooth</t>
  </si>
  <si>
    <t>Downloading the document</t>
  </si>
  <si>
    <t>The first process to be filled automatically</t>
  </si>
  <si>
    <t>All was easy once the document was downloaded</t>
  </si>
  <si>
    <t>MUSIKOMA RC PRIMARY SCHOOL - 2836974a-924b-430f-8ae2-242f4abb6990</t>
  </si>
  <si>
    <t>It's simple to operate. It requires less energy no straining</t>
  </si>
  <si>
    <t>Questions be with answers that you just select for simplicity</t>
  </si>
  <si>
    <t>Make it as questionnaire in all the attempts so that we just pick the appropriate answers</t>
  </si>
  <si>
    <t>It's the best tool for collecting data</t>
  </si>
  <si>
    <t>KIMANDI COMPREHENSIVE SCHOOL - 8927b7bb-8956-4332-b3b6-7b9a44488ba0</t>
  </si>
  <si>
    <t>Through this process we have been able understand how students attend to school.</t>
  </si>
  <si>
    <t>It could have better if you as our seniors call our HOI's first and inform them that we shall be having these processes because sometimes they be are being harsh on us.</t>
  </si>
  <si>
    <t>By calling the HOIs first</t>
  </si>
  <si>
    <t>Otherwise this processes of collecting data are improving our relationships with our teachers the more we are interacting.</t>
  </si>
  <si>
    <t>CHERAMEI PRIMARY AND JSS - c9616c04-7cac-46c7-8111-a41b74636b71</t>
  </si>
  <si>
    <t>Everything happened well in cobo because some data were correct</t>
  </si>
  <si>
    <t>Some students were not yet reported to school therefore hard time to get to know if the student will report or not</t>
  </si>
  <si>
    <t>Make that process short and brief explanation to some areas</t>
  </si>
  <si>
    <t>GATHUTHU PRIMARY AND JSS - 59799c2c-c188-4e91-bc7f-79ca3e094636</t>
  </si>
  <si>
    <t>Population went well</t>
  </si>
  <si>
    <t>Shortage of water</t>
  </si>
  <si>
    <t>To have our own tank</t>
  </si>
  <si>
    <t>ATNAS KANDIE PRIMARY SCHOOL - 6776c071-ca97-4e16-91ea-27d792765320</t>
  </si>
  <si>
    <t>On enrollment side some times doesn't match compared with that one of Kobo collect. So it forced us some times to do it manually using class teachers records.</t>
  </si>
  <si>
    <t>It could be better if we can be doing it monthly.</t>
  </si>
  <si>
    <t>We can improve it by doing monthly.</t>
  </si>
  <si>
    <t>It's Good idea,me personally I like it.</t>
  </si>
  <si>
    <t>The operation was easy</t>
  </si>
  <si>
    <t>EBWAMBWA COMPREHENSIVE PRIMARY - 531ea8ff-b6e7-404f-b9d4-afa392fe63b8</t>
  </si>
  <si>
    <t>It was fast</t>
  </si>
  <si>
    <t>I am happy with how the app is swift</t>
  </si>
  <si>
    <t>I genuinely feel it's working well</t>
  </si>
  <si>
    <t>ST. THERESA MUSAA COMPREHENSIVE PRIMARY - c264a790-ce46-4c8b-a081-4ab2bd8299bc</t>
  </si>
  <si>
    <t>The admin offered the necessary assistance I requested, with ease, which helped me in collecting the data.</t>
  </si>
  <si>
    <t>If room for changes can be allowed since transfers do happen regularly a times after the data has already been submitted.</t>
  </si>
  <si>
    <t>CHIEKO COMPREHENSIVE SCHOOL - 9f07a518-637f-45e3-85f0-f608504afa19</t>
  </si>
  <si>
    <t>The admin was willing to provide the enrolment</t>
  </si>
  <si>
    <t>Challenge encounted is that on my end it shows submitted but on the other end it's not seen so I have to re-do</t>
  </si>
  <si>
    <t>My suggestion you can group schools for different regions and provide a link for a specific group to minimize on answering many questions</t>
  </si>
  <si>
    <t>The food has been always tasty</t>
  </si>
  <si>
    <t>Parents refusing to tap kids</t>
  </si>
  <si>
    <t>In which way  can we tell parents by their phone the balance</t>
  </si>
  <si>
    <t>Food is always tasty</t>
  </si>
  <si>
    <t>ELDORET BOARDER FARM PRIMARY SCHOOL - c130a14a-8e45-4f95-ac26-c0d8436742c6</t>
  </si>
  <si>
    <t>Will help us in efficiency of sending report especially in slack.</t>
  </si>
  <si>
    <t>Try en improve our terminals not to slow down in tapping.</t>
  </si>
  <si>
    <t>Terminal system should be invented also it's bundles.</t>
  </si>
  <si>
    <t>Thank you for hearing our cry on tapping systems.</t>
  </si>
  <si>
    <t>We will not suffer after being supported with bundles</t>
  </si>
  <si>
    <t>When we'll be supported with bundles</t>
  </si>
  <si>
    <t>Supporting us with bundles</t>
  </si>
  <si>
    <t>OGANGO COMPREHENSIVE SCHOOL - 895076d7-93aa-4518-9aff-91ffb53a8553</t>
  </si>
  <si>
    <t>The tool is simple. Data can be saved to draft. You can edit your work before submission</t>
  </si>
  <si>
    <t>ST. JOHN MAHIAKALO COMPREHENSIVE PRIMARY - 65bba539-f053-4ec1-9722-6e72ca03072b</t>
  </si>
  <si>
    <t>The Deputy helped me with data collection</t>
  </si>
  <si>
    <t>It's better when we send a form for the administration to fill and stamp it.</t>
  </si>
  <si>
    <t>Sometimes the HOI sends us to classes and collect data from the registers which class teachers find abit awkward.</t>
  </si>
  <si>
    <t>After being supported with bundles</t>
  </si>
  <si>
    <t>KIDIWA PRIMARY SCHOOL - f395d0c3-54c8-42d8-a0b2-8e1be2d577e4</t>
  </si>
  <si>
    <t>It went well because of the co-operation of the class teachers.</t>
  </si>
  <si>
    <t>Give us a week to collect data so that we can get most accurate information.</t>
  </si>
  <si>
    <t>We what to make follow up of the students who don't  eat. Most of them  don't have tags because their parents have refuse to replace.</t>
  </si>
  <si>
    <t>We need an app where we can know the students have not eaten that day so that we can make follow-up.</t>
  </si>
  <si>
    <t>ELDORET CHEBARUS PRIMARY AND JUNIOR SCHOOL - e4c96b6b-d765-457c-994f-d170db1a6ad2</t>
  </si>
  <si>
    <t>Information was clear</t>
  </si>
  <si>
    <t>Use of the tool to be fast</t>
  </si>
  <si>
    <t>Availability of data</t>
  </si>
  <si>
    <t>Information was clear.</t>
  </si>
  <si>
    <t>Tool to be fast.</t>
  </si>
  <si>
    <t>Availability of data at all times.</t>
  </si>
  <si>
    <t>ST. ANNE'S PRIMARY SCHOOL - 79f56dbb-471a-4375-b90b-4e29560ee69b</t>
  </si>
  <si>
    <t>The platform was very easy to use and navigate.</t>
  </si>
  <si>
    <t>No challenges to report as the process was seamless from start to finish.</t>
  </si>
  <si>
    <t>No recommendations for improvement since the tool worked perfectly for me.</t>
  </si>
  <si>
    <t>The information was clear</t>
  </si>
  <si>
    <t>The tool to be fast</t>
  </si>
  <si>
    <t>RIRONI PRIMARY SCHOOL - 763a8a13-9dcb-42c1-b901-8c0d82641129</t>
  </si>
  <si>
    <t>It is easier to use</t>
  </si>
  <si>
    <t>Am not facing any problems</t>
  </si>
  <si>
    <t>Am okay with it</t>
  </si>
  <si>
    <t>KAKAMEGA MUSLIM COMPREHENSIVE PRIMARY - 58c49b71-5732-455e-986f-3f02b4c7fe8d</t>
  </si>
  <si>
    <t>Data collection was swift since it didn't include capturing the registers</t>
  </si>
  <si>
    <t>LANGAS PRIMARY SCHOOL - 227baa59-a61d-4cdd-a5ca-5621a8d3c58c</t>
  </si>
  <si>
    <t>Make work easier when filling information</t>
  </si>
  <si>
    <t>When giving out important information and you need feedback,it take time to gather  all the information to gave back feedback.time should be consider</t>
  </si>
  <si>
    <t>NABONGO COMPREHENSIVE PRIMARY - b4c0d4ba-248a-4117-9bf3-cc1b87394f88</t>
  </si>
  <si>
    <t>It was perfect infact at place of inserting digits</t>
  </si>
  <si>
    <t>It was perfect</t>
  </si>
  <si>
    <t>At my point the app is fine</t>
  </si>
  <si>
    <t>It's perfect to handle</t>
  </si>
  <si>
    <t>CENTRAL BAPTIST PRIMARY SCHOOL - 4d83991d-6664-4718-8c3d-ba371658e253</t>
  </si>
  <si>
    <t>The link is easier and fast to use</t>
  </si>
  <si>
    <t>KABUKU PRIMARY SCHOOL - 09b27bc6-683c-494b-affb-61757880a09a</t>
  </si>
  <si>
    <t>The process of data collection is user friendly and straight to the point.</t>
  </si>
  <si>
    <t>The Gps section was not showing the current location only the coordinates and one can't tell if the location was correct.</t>
  </si>
  <si>
    <t>If the Gps part can be able to show one's location it will be a bit better</t>
  </si>
  <si>
    <t>MIIRI PRIMARY SCHOOL - 7c5bca87-bd41-442c-9b0d-815c194a0dc2</t>
  </si>
  <si>
    <t>It was easy to follow and fill in.</t>
  </si>
  <si>
    <t>I did not encounter any challenge at all.</t>
  </si>
  <si>
    <t>There is really nothing to improve since the tool was easy to understand and fill in the details</t>
  </si>
  <si>
    <t>GATURA PRIMARY SCHOOL - GATANGA - 85257389-69da-4def-8ca1-aad1f2f76e6a</t>
  </si>
  <si>
    <t>The headteacher helped us to collect the data easily</t>
  </si>
  <si>
    <t>Some times the headteacher is annoyed with us for always asking for population</t>
  </si>
  <si>
    <t>If we can be given the permission to head count ourselves so that we stop waiting for data for even more than a day</t>
  </si>
  <si>
    <t>MWIRUTI PRIMARY SCHOOL - 33569098-bf26-46a3-99ea-a5707d7139ba</t>
  </si>
  <si>
    <t>Feeding grade by grade.</t>
  </si>
  <si>
    <t>Using our own phones to feed</t>
  </si>
  <si>
    <t>Feeding using only school population</t>
  </si>
  <si>
    <t>The system is good and easy to access</t>
  </si>
  <si>
    <t>GREENFIELD COMPREHENSIVE SCHOOL - c686ec9b-56b0-47c6-ae74-d8bf6bf714b4</t>
  </si>
  <si>
    <t>Its afast efficient</t>
  </si>
  <si>
    <t>Online  link</t>
  </si>
  <si>
    <t>Providing other modes</t>
  </si>
  <si>
    <t>Its esy and efficient</t>
  </si>
  <si>
    <t>ST. MARY'S CHEBARUS PRIMARY AND JSS - a4e611a4-8073-4668-a633-9f557da60d4a</t>
  </si>
  <si>
    <t>Every asked question was well detailed.</t>
  </si>
  <si>
    <t>Before getting directions on how to use the app it was difficult to use it.</t>
  </si>
  <si>
    <t>Have some online notes or videos that can help on how to use this and other apps needed for easy workings.</t>
  </si>
  <si>
    <t>Thanks for assistance.</t>
  </si>
  <si>
    <t>G.K PRISON PRIMARY AND JSS -UASIN GISHU - 80f9cb98-99e4-4491-b83c-14088b564de4</t>
  </si>
  <si>
    <t>Data collection was smooth and efficient. The Kobo app was easy to use. Forms were completed accurately. Offline mode worked well</t>
  </si>
  <si>
    <t>Internet connectivity was sometimes slow during synchronization. Some respondents needed additional clarification on a few questions.</t>
  </si>
  <si>
    <t>Provide more training on Kobo features. Improve internet access for faster data upload. Simplify some questions and enhance technical support during data collection.</t>
  </si>
  <si>
    <t>Overall, the data collection process was successful. Thank you for providing an effective and easy-to-use tool. I look forward to using Kobo in future activities.</t>
  </si>
  <si>
    <t>NDIRETI PRIMARY SCHOOL - b70e024a-f0b6-426e-b920-8c2853d87168</t>
  </si>
  <si>
    <t>Every process was easy</t>
  </si>
  <si>
    <t>Giving Admin heads up about the process</t>
  </si>
  <si>
    <t>Make it easy using the app</t>
  </si>
  <si>
    <t>Link was easy to use</t>
  </si>
  <si>
    <t>KAPKOROS PRIMARY AND JSS - e17d5445-783b-4e67-9816-0165195d85f2</t>
  </si>
  <si>
    <t>All the process was well arranged.giving you guidelines on what yo choose</t>
  </si>
  <si>
    <t>For now i feel the goal was well achieved</t>
  </si>
  <si>
    <t>Giving us more exercise on cobo collect to be familiar</t>
  </si>
  <si>
    <t>Satisfied</t>
  </si>
  <si>
    <t>SOSIANI PRIMARY SCHOOL - 23adb3f2-d69f-4057-99e4-8dcb3051c7f3</t>
  </si>
  <si>
    <t>Terminal network was superb.in terms of tapping,registration and appsheet  went good</t>
  </si>
  <si>
    <t>Fruits  to be introduced weekly</t>
  </si>
  <si>
    <t>Menu to be looked upto ,ie beans to be consumed  once a week</t>
  </si>
  <si>
    <t>The program has really changed livelihood of many in society.kids ,parents and teachers like the program</t>
  </si>
  <si>
    <t>GITUAMBA PRIMARY AND JSS - GATANGA - 5e6c02de-cf81-4816-8d1d-fc6591167649</t>
  </si>
  <si>
    <t>Good flow when collecting data</t>
  </si>
  <si>
    <t>HURUMA PRIMARY SCHOOL - UASIN-GISHU - 66a1462f-b1a2-4e96-9d67-013748610476</t>
  </si>
  <si>
    <t>Collecting the information</t>
  </si>
  <si>
    <t>Give time to collect the information because a times you request then a teacher keep on pushing</t>
  </si>
  <si>
    <t>Collection of enrolment should be done termly</t>
  </si>
  <si>
    <t>Enrolment is good because it helps to know schools population</t>
  </si>
  <si>
    <t>MWIKI PRIMARY SCHOOL - KASARANI - c7a3f41a-eb45-436a-9e29-3c03db26d0ac</t>
  </si>
  <si>
    <t>The whole process was smooth and easy to fill</t>
  </si>
  <si>
    <t>I encountered difficulties when submitting my population. The first two submissions were unsuccessful, and the submission was only accepted on the third attempt, after which it was visible to the recipient</t>
  </si>
  <si>
    <t>I am not sure why I had to submit for the third time so as to be visible to the recipient. Kindly find out why I encounter that. Perhaps, could be location of the school. Apart from that everything was easy to fill and understand</t>
  </si>
  <si>
    <t>Perfect tool for population data collection</t>
  </si>
  <si>
    <t>Data collection was smooth and efficient. The Kobo app was easy to use. Forms were completed accurately. Offline mode worked well and data synchronization was successful.</t>
  </si>
  <si>
    <t>Increase training opportunities, improve synchronization speed, and simplify the data collection process to enhance user experience and data quality.</t>
  </si>
  <si>
    <t>I appreciate the opportunity to use Kobo for data collection. The platform was easy to navigate and helped improve the efficiency and accuracy of data gathering. Continued improvements and user support will make the experience even better.</t>
  </si>
  <si>
    <t>KARANGI KIANA PRIMARY SCHOOL AND JUNIOR SECONDARY - b2e90b07-6d1b-4fca-9ef7-f3bb37fd7dd9</t>
  </si>
  <si>
    <t>At least u introduced cowpeas</t>
  </si>
  <si>
    <t>Provide data bundles</t>
  </si>
  <si>
    <t>Submission of data</t>
  </si>
  <si>
    <t>Doing enrolment  a times is hard because teachers are somehow busy and you need it urgentlu</t>
  </si>
  <si>
    <t>Collecting termly to know school population</t>
  </si>
  <si>
    <t>This enrolment is easing work</t>
  </si>
  <si>
    <t>KAPKENDUIYWO PRIMARY SCHOOL - 75e8fca9-665e-4b2d-9e0c-a50ea7f47573</t>
  </si>
  <si>
    <t>It's easy to collect data</t>
  </si>
  <si>
    <t>Time line sometimes is too short</t>
  </si>
  <si>
    <t>To give enough time to collect the information because HOI  sometimes they are not around</t>
  </si>
  <si>
    <t>Collecting information</t>
  </si>
  <si>
    <t>Doing it monthly to easen collection</t>
  </si>
  <si>
    <t>Enrilment to be done to know school population</t>
  </si>
  <si>
    <t>Enrolment should be done frequently to know the population decrease or increase</t>
  </si>
  <si>
    <t>Very is going on well</t>
  </si>
  <si>
    <t>Slow data at times</t>
  </si>
  <si>
    <t>Now it's good</t>
  </si>
  <si>
    <t>KAHUMBU PRIMARY SCHOOL - ec6c5671-50e3-4c90-a9f7-36cb8e8c5cb7</t>
  </si>
  <si>
    <t>It helps in data collection</t>
  </si>
  <si>
    <t>Powerful platform for field _based data collection</t>
  </si>
  <si>
    <t>Using mobile data collection efficiency</t>
  </si>
  <si>
    <t>Use skip logic and validation for high data quality</t>
  </si>
  <si>
    <t>KIAMBAA PRIMARY AND JSS - UASIN GISHU - e0aeee90-1aab-4c92-812b-976a57620933</t>
  </si>
  <si>
    <t>It is easy to do</t>
  </si>
  <si>
    <t>More educated</t>
  </si>
  <si>
    <t>We need to learn more</t>
  </si>
  <si>
    <t>ST. PETERS KAMUKUNJI PRIMARY SCHOOL - d4e88741-d170-4df9-9359-2a3f1efd8aa2</t>
  </si>
  <si>
    <t>Collection of school data</t>
  </si>
  <si>
    <t>Making work easier</t>
  </si>
  <si>
    <t>By collecting data termly not monthly</t>
  </si>
  <si>
    <t>It good and decreasing work loads</t>
  </si>
  <si>
    <t>Feeling the students enrolment</t>
  </si>
  <si>
    <t>A times enrolment is needed urgently and we have ti console the administration so the company should be patient</t>
  </si>
  <si>
    <t>Enrilment shiuld be done each time si that we can know our students populations</t>
  </si>
  <si>
    <t>Our school boys are more than girls since we began feeding programme</t>
  </si>
  <si>
    <t>WANGIGE COMPREHENSIVE SCHOOL - 6e816138-c52f-41eb-a9d5-69c4e596bcb0</t>
  </si>
  <si>
    <t>The whole process</t>
  </si>
  <si>
    <t>It was okey on my side</t>
  </si>
  <si>
    <t>Nothing much</t>
  </si>
  <si>
    <t>Work has been good and better</t>
  </si>
  <si>
    <t>By adding us salary</t>
  </si>
  <si>
    <t>By buying us more data to keep us updated</t>
  </si>
  <si>
    <t>We are moving up well</t>
  </si>
  <si>
    <t>Easily capturing population</t>
  </si>
  <si>
    <t>The flow of population capturing</t>
  </si>
  <si>
    <t>Should be captured monthly</t>
  </si>
  <si>
    <t>He in monitoring school population</t>
  </si>
  <si>
    <t>A.C.K UTHIRU PRIMARY SCHOOL - 3274ebf7-6e35-4ed3-8a04-3862579e5be6</t>
  </si>
  <si>
    <t>I was able to collect the total population for the school.</t>
  </si>
  <si>
    <t>The challenge of trying to collect the population on a daily basis.</t>
  </si>
  <si>
    <t>By making the population collection exercise be done once every month.</t>
  </si>
  <si>
    <t>ST. MARY'S ELDORET PRIMARY AND JUNIOR SECONDARY SCHOOL - 3fd0ac96-e265-428c-ae90-a716c2a9355e</t>
  </si>
  <si>
    <t>The teachers cooperation</t>
  </si>
  <si>
    <t>All of this in one place</t>
  </si>
  <si>
    <t>Teachers to be given the tags also.Indicating teachers who have successfully tapped</t>
  </si>
  <si>
    <t>KAPYEMIT PRIMARY AND JSS - 7defce8f-c14c-436e-a9f8-52c30958c897</t>
  </si>
  <si>
    <t>Select a graph for boys and girls</t>
  </si>
  <si>
    <t>Ask more direct questions</t>
  </si>
  <si>
    <t>The administration helped greatly  to make sure that  the data collected was accurate.</t>
  </si>
  <si>
    <t>it's was easy to use</t>
  </si>
  <si>
    <t>The administration  supported  to ensure  accurate  data  collection</t>
  </si>
  <si>
    <t>ABBA SALAMA WANANCHI PRIMARY SCHOOL - f12e4a34-a2dd-47d0-8a06-ed0262a07db3</t>
  </si>
  <si>
    <t>Being able to proofread data before is a win because it helps reduce any chance of making a mistake  hence improves accuracy</t>
  </si>
  <si>
    <t>A challenge I encounter was when the headteacher was unavailable and the deputy headteacher was busy and engaged making it difficullt to get to get a stamped copy the current school population</t>
  </si>
  <si>
    <t>It's not really a recommendation because after consistent follow up I was able to get the data I needed from the deputy headteacher.</t>
  </si>
  <si>
    <t>KAPCHUMBA PRIMARY AND JSS - aebd650b-d3ff-423e-89e6-2c65e3a32f08</t>
  </si>
  <si>
    <t>to use the kob app is easiest way</t>
  </si>
  <si>
    <t>For me that is the good way</t>
  </si>
  <si>
    <t>No ,all things in kobo is perfect</t>
  </si>
  <si>
    <t>very nice</t>
  </si>
  <si>
    <t>GITHUNGURI TECHNICAL &amp; SECONDARY SCHOOL - 159f5a8c-e851-4ad8-bd04-7035c275cbec</t>
  </si>
  <si>
    <t>"I worked well with customers, managed orders efficiently, and contributed positively to the team's goals while maintaining a high level of customer</t>
  </si>
  <si>
    <t>For now I don't have any challenges</t>
  </si>
  <si>
    <t>"At Tap2Eat, we can improve by ensuring beans are distributed according to the program schedule, maintaining consistency in portion sizes, and serving meals efficiently to meet customer needs</t>
  </si>
  <si>
    <t>"I have enjoyed working at Tap2Eat. The experience has helped me improve my customer service, teamwork, communication, and time management skills. I have learned how to work efficiently in a fast-paced environment while ensuring customers receive quality service</t>
  </si>
  <si>
    <t>NDUMA PRIMARY AND JUNIOR SCHOOL - 48cb4a07-7e3b-4920-b45f-ad209e27a37b</t>
  </si>
  <si>
    <t>Everything went well no challenges while using the app</t>
  </si>
  <si>
    <t>I didn't experience any challenges so far</t>
  </si>
  <si>
    <t>It's a long process of filling in just shorten it especially while using the grade by grade breakdown</t>
  </si>
  <si>
    <t>KIPKAREN ROAD PRIMARY SCHOOL - 95812d4b-f3f6-468e-a952-ac5f9c069637</t>
  </si>
  <si>
    <t>The app is easy to acces</t>
  </si>
  <si>
    <t>At least we collect data by headcount.</t>
  </si>
  <si>
    <t>We improve. In sending it on time.</t>
  </si>
  <si>
    <t>KAKAMEGA TOWNSHIP PRIMARY - 56c6da2c-7810-4a1b-a15b-cbaf4849eb61</t>
  </si>
  <si>
    <t>The app works well</t>
  </si>
  <si>
    <t>Asking for previous data that we had to go and look for it again</t>
  </si>
  <si>
    <t>I think you have to be keeping the data so that when we upload the current population we don't have to start looking for the previous one</t>
  </si>
  <si>
    <t>As easy quastions</t>
  </si>
  <si>
    <t>Improve the app</t>
  </si>
  <si>
    <t>The administration collaborated in data delivery</t>
  </si>
  <si>
    <t>KANYIHA PRIMARY AND JUNIOR SCHOOL - af155e02-7baa-4524-b448-f8fc7174891a</t>
  </si>
  <si>
    <t>It's was very easy to fill.</t>
  </si>
  <si>
    <t>The tools was okay</t>
  </si>
  <si>
    <t>For me it's was okay and easy to fill</t>
  </si>
  <si>
    <t>Registration of new student</t>
  </si>
  <si>
    <t>Transfer Kobo from termin</t>
  </si>
  <si>
    <t>Put kobo to our phone</t>
  </si>
  <si>
    <t>Okey</t>
  </si>
  <si>
    <t>KAMANGU PRIMARY AND JUNIOR SCHOOL - ebc6076b-5fb8-41f2-a320-957239e6d009</t>
  </si>
  <si>
    <t>The location was hard to track</t>
  </si>
  <si>
    <t>Automate your location tracker</t>
  </si>
  <si>
    <t>OLE KASASI PRIMARY SCHOOL - b32c9203-da13-4950-b3bd-0eda4d860ac2</t>
  </si>
  <si>
    <t>The online link was easy to access and use. The questions were clear and the process was smooth. Submission was quick.</t>
  </si>
  <si>
    <t>Delays in getting information from some Headteachers. Poor record-keeping in some schools. HODs and school administrators should be informed in advance to prepare the required data.</t>
  </si>
  <si>
    <t>Improve platform speed and stability. Provide clearer instructions at the beginning. Share a short guide for first-time users.</t>
  </si>
  <si>
    <t>NJUMBI PRIMARY AND JUNIOR SCHOOL - 4d8d7c51-4cdb-470a-b657-6977abb58967</t>
  </si>
  <si>
    <t>It was very easy to fill the form, it helped me to know the school population.</t>
  </si>
  <si>
    <t>The  tool was okey</t>
  </si>
  <si>
    <t>It was okey,</t>
  </si>
  <si>
    <t>KAKAMEGA PRIMARY AND JUNIOR SCHOOL - 656d3e21-fbf1-4662-b79a-5ba7061272de</t>
  </si>
  <si>
    <t>The process was seamless</t>
  </si>
  <si>
    <t>It's simple and nice</t>
  </si>
  <si>
    <t>Didn't find anything wrong</t>
  </si>
  <si>
    <t>It helps in collecting data easier</t>
  </si>
  <si>
    <t>Give us enough time.</t>
  </si>
  <si>
    <t>Put Kobo in our phone</t>
  </si>
  <si>
    <t>Maybe reduce the parts that require additional information</t>
  </si>
  <si>
    <t>It's nice and simple</t>
  </si>
  <si>
    <t>The app was easy to use</t>
  </si>
  <si>
    <t>Make a graph to separate boys and girls</t>
  </si>
  <si>
    <t>The administration was helpful in data collection and accuracy.</t>
  </si>
  <si>
    <t>MAKUYU PRIMARY SCHOOL - ee560bef-f7c5-47b1-a1de-bde107471233</t>
  </si>
  <si>
    <t>It fast does not use more times</t>
  </si>
  <si>
    <t>Net work issues</t>
  </si>
  <si>
    <t>As per now everything is okay</t>
  </si>
  <si>
    <t>Makes projection Abit easier</t>
  </si>
  <si>
    <t>Challenges is that it takes a lot of time when collecting the data</t>
  </si>
  <si>
    <t>Kobo collection to be done monthly instead of termly</t>
  </si>
  <si>
    <t>This makes the work easier</t>
  </si>
  <si>
    <t>MUNGLU SCHOOL - 6753a652-3c88-479d-8110-16e969492008</t>
  </si>
  <si>
    <t>Data collection. Saving progress to continue later and find it still intact</t>
  </si>
  <si>
    <t>ST. GABRIEL KING'ONG'O ECDE - ae1bb6f1-fc24-4609-a435-02eb6fea5b2e</t>
  </si>
  <si>
    <t>Every thing</t>
  </si>
  <si>
    <t>Everything was nice</t>
  </si>
  <si>
    <t>It was good</t>
  </si>
  <si>
    <t>all is well</t>
  </si>
  <si>
    <t>CENTRAL PRIMARY AND JSS -UASIN GISHU - 6b760662-24e1-4125-82fc-b68f1f24a078</t>
  </si>
  <si>
    <t>Everything  went well we had good time at work and food always arrive on time.</t>
  </si>
  <si>
    <t>By serving enough  food  to kids and listenig to them</t>
  </si>
  <si>
    <t>By charnging the menu sometime kids complain</t>
  </si>
  <si>
    <t>Lets continue working together</t>
  </si>
  <si>
    <t>GATHIRUINI PRIMARY SCHOOL - a57221eb-6122-4128-a9c4-886bfd81b1a8</t>
  </si>
  <si>
    <t>My number has remained the same</t>
  </si>
  <si>
    <t>It was very easy to fill,it helped to know the population.</t>
  </si>
  <si>
    <t>It was good.</t>
  </si>
  <si>
    <t>It was easy to fill.</t>
  </si>
  <si>
    <t>P.C.E.A MITAHATO SECONDARY SCHOOL - a017d96c-f128-429f-a46b-9c10c065dbdb</t>
  </si>
  <si>
    <t>everything</t>
  </si>
  <si>
    <t>ensure it tallies well,,,you feed the correct numbers but at the end it gives you a different total</t>
  </si>
  <si>
    <t>what you fill in each grade at the end it sometimes doesn't tally correctly</t>
  </si>
  <si>
    <t>STATE LODGE VIEW PRIMARY SCHOOL - 7ad3e556-9aa4-4807-a6aa-e2af13684a8c</t>
  </si>
  <si>
    <t>Everything. went  well</t>
  </si>
  <si>
    <t>In  some way when you wanted to submit the data it refused</t>
  </si>
  <si>
    <t>Has made me acquire new skills for data collection</t>
  </si>
  <si>
    <t>Thanks to  you guys you are always there to help us when a need arise</t>
  </si>
  <si>
    <t>PCEA KARIA COMPREHENSIVE SCHOOL - cc4b0297-cc37-4424-9e34-728fdbbf1c44</t>
  </si>
  <si>
    <t>CHEPKOILEL CENTRAL PRIMARY AND JSS - 15a20897-5e06-408a-88a4-9388e6c273db</t>
  </si>
  <si>
    <t>We managed to know and discoverr the number of students in a school.</t>
  </si>
  <si>
    <t>I have no challenge.</t>
  </si>
  <si>
    <t>I trust the progress.</t>
  </si>
  <si>
    <t>KOMAROCK SOUTH COMPREHENSIVE SCHOOL - 553d333d-4e8c-4a6b-99e7-09b2660b7e4f</t>
  </si>
  <si>
    <t>Onboarding of vulnerable students as sponsored into the food for education system.</t>
  </si>
  <si>
    <t>Currently everything is operating as expected.</t>
  </si>
  <si>
    <t>No suggestions.</t>
  </si>
  <si>
    <t>GATIIGURU PRIMARY AND JSS - f72f6eba-2f7e-4fb2-86a6-b7e384b48622</t>
  </si>
  <si>
    <t>The simplicity of the in filling in the data</t>
  </si>
  <si>
    <t>Increase the countdown during submitting to provide time to take a picture or a screenshot</t>
  </si>
  <si>
    <t>Experience was Toptier</t>
  </si>
  <si>
    <t>RACECOURSE PRIMARY - UASIN-GISHU - 86bbdee5-46bf-4a91-8214-4be4e0591411</t>
  </si>
  <si>
    <t>The app  makes work more easier</t>
  </si>
  <si>
    <t>The app could store  as many information as possible.</t>
  </si>
  <si>
    <t>Most of the information  should be stored in the app</t>
  </si>
  <si>
    <t>It is the easiest app and  more  reliable.</t>
  </si>
  <si>
    <t>NAKURU</t>
  </si>
  <si>
    <t>WESTERN - NAKURU</t>
  </si>
  <si>
    <t>KIVULINI COMPREHENSIVE SCHOOL - 5a47b041-f9bb-4343-9723-de39e7bf7156</t>
  </si>
  <si>
    <t>Filling  the questions</t>
  </si>
  <si>
    <t>Downloading the app</t>
  </si>
  <si>
    <t>The process was good</t>
  </si>
  <si>
    <t>KIBUNJA HIGHWAY SCHOOL - f67ad4f8-781b-4965-88ab-dbc8150a8516</t>
  </si>
  <si>
    <t>Filling population data went smoothly</t>
  </si>
  <si>
    <t>Using the app was challenging somehow</t>
  </si>
  <si>
    <t>Using it regularly</t>
  </si>
  <si>
    <t>It was interesting to become familiar with it</t>
  </si>
  <si>
    <t>KIBAAKA COMPREHENSIVE SCHOOL - b6afc8bd-d23b-4d43-b629-cc324561a174</t>
  </si>
  <si>
    <t>Good. cooperation. and .fantastic. r/latioship</t>
  </si>
  <si>
    <t>Network .but.we.are.upto.that. and .also.provision of working materials e.g masks, detergent etc</t>
  </si>
  <si>
    <t>Provision of working materials on time</t>
  </si>
  <si>
    <t>Congratulations to the department for the good progress</t>
  </si>
  <si>
    <t>Filling the gaps</t>
  </si>
  <si>
    <t>Downloading  the app</t>
  </si>
  <si>
    <t>WANDIEGE PRIMARY, ECDE AND JUNIOR SECONDARY SCHOOL - 6265f2f5-6790-4440-9f95-ce7f231c2437</t>
  </si>
  <si>
    <t>Keying in the different data collected individually.</t>
  </si>
  <si>
    <t>No challenge was experienced</t>
  </si>
  <si>
    <t>Everything is fine as it is</t>
  </si>
  <si>
    <t>Healthy and appetising meal and also good relationship</t>
  </si>
  <si>
    <t>Lack of working materials on time and poor network</t>
  </si>
  <si>
    <t>Providing enough materials every term</t>
  </si>
  <si>
    <t>Congratulations to the f4e team for nice progress</t>
  </si>
  <si>
    <t>NDUNYU CHEGE PRIMARY AND JUNIOR SECONDARY SCHOOL  - bfa90aa6-780a-41e7-9d33-fb05950d5180</t>
  </si>
  <si>
    <t>Everything  was good</t>
  </si>
  <si>
    <t>Grade by grade  population   takes alot of time</t>
  </si>
  <si>
    <t>Issuing  of bundles will attending  to it</t>
  </si>
  <si>
    <t>Healthy and balanced diet.also good relationship</t>
  </si>
  <si>
    <t>Provision of working materials e.g masks and detergent</t>
  </si>
  <si>
    <t>Having many meetings if possible and having trips or fun's for refreshments</t>
  </si>
  <si>
    <t>Kudos to f4e team for excellent progress</t>
  </si>
  <si>
    <t>Healthy and balanced diet provided</t>
  </si>
  <si>
    <t>Providing working materials immediately during school.openings</t>
  </si>
  <si>
    <t>Plan for various trip to improve our working methods</t>
  </si>
  <si>
    <t>Kudos f4e team for excellent progress</t>
  </si>
  <si>
    <t>MBOTELA DAY NURSERY - 447a2616-6338-4444-b803-c809a8e4b41d</t>
  </si>
  <si>
    <t>It was seemless</t>
  </si>
  <si>
    <t>It's all good</t>
  </si>
  <si>
    <t>Perfect</t>
  </si>
  <si>
    <t>NYORO PRIMARY SCHOOL - b07525ba-fcf9-4b09-80be-f7837b2955b5</t>
  </si>
  <si>
    <t>The step by step focus on particulars</t>
  </si>
  <si>
    <t>Class by class data without the gender</t>
  </si>
  <si>
    <t>Auto fill data from when the program started for the data was hard to get worked with current admin estimations</t>
  </si>
  <si>
    <t>BAHATI PRIMARY AND JUNIOR SECONDARY SCHOOL - dca34782-9a20-41b8-a0a8-50e1c5080b1c</t>
  </si>
  <si>
    <t>Data collection made easier and fast</t>
  </si>
  <si>
    <t>KINGEERO COMPREHENSIVE SCHOOL - c5a7b54d-aaaa-434e-8ec0-6bf7f625ef46</t>
  </si>
  <si>
    <t>Collaboration with specific class teachers.</t>
  </si>
  <si>
    <t>Ecde managers can be intergrated better</t>
  </si>
  <si>
    <t>Engage Ecde managers to feel part of the project.</t>
  </si>
  <si>
    <t>Time consuming</t>
  </si>
  <si>
    <t>by practicing  regularly.for creativity</t>
  </si>
  <si>
    <t>RIU-NDERI PRIMARY AND JUNIOR SCHOOL - da30c960-8af6-406f-8fb0-4bc4d4cd4bd1</t>
  </si>
  <si>
    <t>Data collection</t>
  </si>
  <si>
    <t>We do it weekly</t>
  </si>
  <si>
    <t>MABAE COMPREHENSIVE SCHOOL - 3e9738e7-1d72-484c-8543-4671e0bd21f1</t>
  </si>
  <si>
    <t>We had to know the no of students</t>
  </si>
  <si>
    <t>If we feed the whole school</t>
  </si>
  <si>
    <t>AV a talk with parent to reduce failed taps</t>
  </si>
  <si>
    <t>Issuing informatiom</t>
  </si>
  <si>
    <t>Some teachers does not give information immediately so you have to follow them</t>
  </si>
  <si>
    <t>Doing each other</t>
  </si>
  <si>
    <t>Doing this monthly to know our school population is increasing or decreasing and also since we began feeding programme boys are more than girls</t>
  </si>
  <si>
    <t>GATITU COMPREHENSIVE SCHOOL - a2b024c4-9da7-4fea-bcf7-18f25e504a58</t>
  </si>
  <si>
    <t>The class teachers,as instructed by the deputy headteacher,did a headcount amidst being aware of the number of students,,then submitted the right numbers per class thus simplifying the process...</t>
  </si>
  <si>
    <t>The process was okay,no complains.</t>
  </si>
  <si>
    <t>When the school admits/registers a new student,can there be edit buttons in the population collection tool where we can update as they come rather than awaiting the term to end and start of another term for the population update.?</t>
  </si>
  <si>
    <t>KIAIRIA PRIMARY AND JUNIOR SECONDARY SCHOOL  - 3c15af90-1862-4742-ae63-8dd7dc05fd1d</t>
  </si>
  <si>
    <t>The mode of collection on grade by grade and the criteria of having boys and girls separately was incredible.</t>
  </si>
  <si>
    <t>No challenges faced the process was well done.</t>
  </si>
  <si>
    <t>For now none.</t>
  </si>
  <si>
    <t>MWIKI COMPREHENSIVE SCHOOL - 164c7758-6569-4c9a-87ee-1ed24f028650</t>
  </si>
  <si>
    <t>The app is so easy to use.School admin very supportive</t>
  </si>
  <si>
    <t>There was no any challenge</t>
  </si>
  <si>
    <t>On my end the app is okay.</t>
  </si>
  <si>
    <t>KOMAROCK PRIMARY AND JUNIOR SCHOOL - 8499e1a9-f1db-4b67-bc8a-0217ca760a0b</t>
  </si>
  <si>
    <t>The school administration was cooperative in sharing the attendance. I also liked that when filling the population it was grouped by class which made it easier to fill the population. Also the system automatically doing the additions that really went a long way.</t>
  </si>
  <si>
    <t>On my end I didn't experience any challenge.</t>
  </si>
  <si>
    <t>LANG'ATA WEST PRIMARY - a5be842f-5284-4a87-86ab-8bb5f99af7d5</t>
  </si>
  <si>
    <t>I managed to get the population which was hard to get</t>
  </si>
  <si>
    <t>The tool app didn't work well for me.</t>
  </si>
  <si>
    <t>Maybe revisit the tool app again</t>
  </si>
  <si>
    <t>I would appreciate if the app works easier for me</t>
  </si>
  <si>
    <t>CURA COMPREHENSIVE SCHOOL - 64deb221-ad88-4ed7-935f-b0b175832a29</t>
  </si>
  <si>
    <t>It usually goes smoothly because of its reliable offline capabilities. It eliminates manual data  entry and provide automatic summary</t>
  </si>
  <si>
    <t>On my side is okay for now because it provides a step by step guide on how to configure</t>
  </si>
  <si>
    <t>MARY IMMACULATE PRIMARY AND JSS - 262a9c1f-da8b-48a6-a3c8-7208fd9ec75e</t>
  </si>
  <si>
    <t>Grade by grade breakdown and we could fill in the form according to gender and per grade.</t>
  </si>
  <si>
    <t>The administration in my school is always hesitant with the population updates.</t>
  </si>
  <si>
    <t>Make call to the hesitant admin so they are sure we don't use the population updates outside food4education</t>
  </si>
  <si>
    <t>Exercising the population data collection after opening schools and a week before closing would give almost numbers</t>
  </si>
  <si>
    <t>KIGWANDI PRIMARY SCHOOL - 9fb7e1fa-e182-42a5-b052-223ecc7329d4</t>
  </si>
  <si>
    <t>I can say the great thing about using the Kobotoolbox is that it saves time.Knowing the location of the school.It also gives accuracy.</t>
  </si>
  <si>
    <t>The challenge that I encountered was getting the altitude &amp; longitude couldn't come automatically.the process, getting the</t>
  </si>
  <si>
    <t>I can  suggest that even our school admin also to be aware of this process of data collection of their schools.</t>
  </si>
  <si>
    <t>I can say the process is great.</t>
  </si>
  <si>
    <t>ELUFAFWA COMMUNITY SCHOOL - bdb82e5f-5b65-42e9-8fb2-5a3e92775b11</t>
  </si>
  <si>
    <t>The admin was positive in helping track the daily attendance of learners in school</t>
  </si>
  <si>
    <t>Include the total attendance in the slack daily report</t>
  </si>
  <si>
    <t>KARURA KA NYUNGU COMPREHENSIVE SCHOOL - 167c8871-8540-48bb-bcb9-7cf665422703</t>
  </si>
  <si>
    <t>It was very easy and accurate</t>
  </si>
  <si>
    <t>On my end, all was well</t>
  </si>
  <si>
    <t>ST. BARBARA ROSTERMAN PRIMARY - 7a762d37-64a5-422a-b45f-26cc1096138f</t>
  </si>
  <si>
    <t>The data collection process was smooth and well organized. Most learners were captured successfully. The tool was easy to use and data submission was completed on time. Support from school staff facilitated the exercise.</t>
  </si>
  <si>
    <t>Some learner records required verification and correction</t>
  </si>
  <si>
    <t>Enhance the tool's speed and offline functionality</t>
  </si>
  <si>
    <t>THIMBIGUA PRIMARY SCHOOL - f5f177a9-b41c-40f8-bbf2-5ed70a53ab92</t>
  </si>
  <si>
    <t>-You had an option to break down the data received either by a total number or by gender.The tool is able to compile the total number making it easy to avoid errors.</t>
  </si>
  <si>
    <t>If the data can have a breakdown in terms of classes with several streams since some data you receive in stream format to avoid errors</t>
  </si>
  <si>
    <t>ST. AUGUSTINE GATONO PRIMARY - c3ad632d-28a3-43b1-8070-ec205f4502af</t>
  </si>
  <si>
    <t>Easy input of data</t>
  </si>
  <si>
    <t>KIRWARA D.E.B PRIMARY SCHOOL AND JSS - f86c24ad-449d-425b-ab6a-f00424746984</t>
  </si>
  <si>
    <t>KIMUCHU PRIMARY SCHOOL - 0c285c42-76e5-402d-b36a-4775eb6cfed2</t>
  </si>
  <si>
    <t>The fact that the tool was able to calculate for me the totals and all I had to do is get the correct data. Most teachers also cooperated very well in helping me get the correct data.</t>
  </si>
  <si>
    <t>Challenges that I encountered during the exercise was, The school has very high population and geographically big so locating class teachers for each class was very time consuming.</t>
  </si>
  <si>
    <t>For such a big school, you can have a tapper come early to help with other tasks as I undertake the population exercise.</t>
  </si>
  <si>
    <t>NGECHA PRIMARY SCHOOL - 2010fbde-0e49-4608-a086-9bbdfc441de1</t>
  </si>
  <si>
    <t>The population collection was smooth.</t>
  </si>
  <si>
    <t>Everything was okay</t>
  </si>
  <si>
    <t>KIAMBURURU COMPREHENSIVE SCHOOL - 71e78327-9315-4e21-b6fc-53cae5cb7e2b</t>
  </si>
  <si>
    <t>The app is easy to use and fast in data input making collection fast and accurate</t>
  </si>
  <si>
    <t>The application works well</t>
  </si>
  <si>
    <t>It is good</t>
  </si>
  <si>
    <t>UPPER KIHARA COMPREHENSIVE SCHOOL - 03848773-3617-41fa-851f-aafb30bd2806</t>
  </si>
  <si>
    <t>The form was clear, and questions were easy to understand</t>
  </si>
  <si>
    <t>I think it was okay</t>
  </si>
  <si>
    <t>ACK KIRANGARI PRIMARY AND JUNIOR SCHOOL - 8a568cad-719e-4c9f-ad64-a017f6fec865</t>
  </si>
  <si>
    <t>The mode of online data mode was simplified</t>
  </si>
  <si>
    <t>I had a challenge with the admin when collecting data... They had no save copy ... Took me about a week to finally have the data.</t>
  </si>
  <si>
    <t>More time to collect the data if admin r not ready with it</t>
  </si>
  <si>
    <t>KINDIGA COMPREHENSIVE SCHOOL - ba489c46-75ef-4438-b29d-567c7dfe4120</t>
  </si>
  <si>
    <t>The administration gave me accurate data regarding the population.The admin also cooperated smoothly to give me the data especially the HOi.</t>
  </si>
  <si>
    <t>All was good F4E,Hongera👏</t>
  </si>
  <si>
    <t>GATUANABU PRIMARY AND JUNIOR SCHOOL - 9298f3c6-72b9-49b7-a3a7-87f88a130404</t>
  </si>
  <si>
    <t>It is simple to use and easy to understand</t>
  </si>
  <si>
    <t>Sometimes it takes time to load but it works perfectly</t>
  </si>
  <si>
    <t>I think it's working perfectly both offline and online and I think it should stay</t>
  </si>
  <si>
    <t>ST. MARK NYABERA COMPREHENSIVE SCHOOL - f1bfccac-bfe4-4c1d-9585-da7652bec99c</t>
  </si>
  <si>
    <t>It's well structured making it easy to let in the data.</t>
  </si>
  <si>
    <t>Maybe save all schools baseline data from your end so that we avoid getting different figures from the admin especially after HOI transfers.</t>
  </si>
  <si>
    <t>ACK NDURARUA PRIMARY AND JUNIOR SCHOOL - 81195dbc-6f0f-40d3-93e6-4400ace0cd22</t>
  </si>
  <si>
    <t>It was easy to me.</t>
  </si>
  <si>
    <t>KAHUHO PRIMARY AND JUNIOR SCHOOL - 09c942f0-2544-4295-b056-61140061efcd</t>
  </si>
  <si>
    <t>Got the population class by class</t>
  </si>
  <si>
    <t>All types of cereals except western</t>
  </si>
  <si>
    <t>KAMBUI PRIMARY AND JUNIOR SCHOOL - 4551afed-021c-4eba-98ba-c057ddd0479c</t>
  </si>
  <si>
    <t>Data collection was completed successfully. KoboCollect was easy to use. Admin and teachers support were effective.</t>
  </si>
  <si>
    <t>There was a slight delay in accessing baseline population data.</t>
  </si>
  <si>
    <t>Restrict duplicate submissions after successful form completion and provide a confirmation message or email. Allow corrections through a controlled edit request process to improve data accuracy and prevent duplicate entries.</t>
  </si>
  <si>
    <t>GACII COMPREHENSIVE SCHOOL - 1507d497-922f-4ab9-92c4-ed6b32ffa86d</t>
  </si>
  <si>
    <t>This is whereby the information needed is given without complications.</t>
  </si>
  <si>
    <t>We need to be given enough time when this kind of information is needed because we need the HOI for this and sometimes,they are not around.</t>
  </si>
  <si>
    <t>Maybe we can save such informations to avoid  going back to the administration  now and then for the same .</t>
  </si>
  <si>
    <t>KAMUIRU COMPREHENSIVE SCHOOL - 9e771b60-d225-4573-95a5-380d77b75510</t>
  </si>
  <si>
    <t>The interface was user-friendly making the data collection process smooth and efficient.</t>
  </si>
  <si>
    <t>I experienced delays in data synchronization which resulted in multiple repeated submissions.</t>
  </si>
  <si>
    <t>Improve data synchronization.</t>
  </si>
  <si>
    <t>NDONGORO COMPREHENSIVE SCHOOL - 9d9bc4a5-486d-461e-90dc-0d39431f2191</t>
  </si>
  <si>
    <t>I received the school population politely from the deputy. The exercise was simple and not time consuming</t>
  </si>
  <si>
    <t>Convincing the need for the information to the school.</t>
  </si>
  <si>
    <t>You can help by communicating directly to the head teachers about the data and why we need them through emails.</t>
  </si>
  <si>
    <t>The exercise was well done</t>
  </si>
  <si>
    <t>NYATARAGI PRIMARY</t>
  </si>
  <si>
    <t>WAMBAA PRIMARY SCHOOL</t>
  </si>
  <si>
    <t>KANGOYA PRIMARY AND JUNIOR SCHOOL</t>
  </si>
  <si>
    <t>GIKAMBURA PRIMARY AND JUNIOR SCHOOL</t>
  </si>
  <si>
    <t>NGONG TOWNSHIP COMPREHENSIVE</t>
  </si>
  <si>
    <t>RUKUBI COMPREHENSIVE SCHOOL</t>
  </si>
  <si>
    <t>MWIYALA COMPREHENSIVE PRIMARY</t>
  </si>
  <si>
    <t>THIGIO PRIMARY SCHOOL</t>
  </si>
  <si>
    <t>NCC EMBAKASI COMPREHENSIVE SCHOOL</t>
  </si>
  <si>
    <t>OLOOLUA COMPREHENSIVE SCHOOL</t>
  </si>
  <si>
    <t>NAIROBI SOUTH PRIMARY</t>
  </si>
  <si>
    <t>TOM MBOYA PRIMARY AND JUNIOR SECONDRAY SCHOOL</t>
  </si>
  <si>
    <t>GATHAITHI SECONDARY SCHOOL</t>
  </si>
  <si>
    <t>BEDZIMBA COMPREHENSIVE SCHOOL</t>
  </si>
  <si>
    <t>KONGOWEA PRIMARY SCHOOL</t>
  </si>
  <si>
    <t>MTOPANGA COMPREHENSIVE SCHOOL</t>
  </si>
  <si>
    <t>CHELETA PRIMARY SCHOOL</t>
  </si>
  <si>
    <t>ARYA PRIMARY SCHOOL</t>
  </si>
  <si>
    <t>AZHAR SHARRIF COMPREHENSIVE SCHOOL</t>
  </si>
  <si>
    <t>LONGO PRIMARY SCHOOL</t>
  </si>
  <si>
    <t>SIRITANYI RC COMPREHENSIVE SCHOOL</t>
  </si>
  <si>
    <t>NGURIUNDITU PRIMARY AND JUNIOR SCHOOL</t>
  </si>
  <si>
    <t>MAWENI PRIMARY SCHOOL</t>
  </si>
  <si>
    <t>TIEKUNU PRIMARY SCHOOL</t>
  </si>
  <si>
    <t>KIBOS PRISON COMPREHENSIVE SCHOOL</t>
  </si>
  <si>
    <t>KISAUNI PRIMARY SCHOOL</t>
  </si>
  <si>
    <t>KAMONDO PRIMARY AND JUNIOR SCHOOL</t>
  </si>
  <si>
    <t>DANDORA 1 PRIMARY AND JUNIOR SCHOOL</t>
  </si>
  <si>
    <t>MUTHANGARI PRIMARY SCHOOL</t>
  </si>
  <si>
    <t>DANDORA DAY NURSERY</t>
  </si>
  <si>
    <t>MATHANJA PRIMARY SCHOOL</t>
  </si>
  <si>
    <t>KIBUYE MIXED PRIMARY SCHOOL</t>
  </si>
  <si>
    <t>LOWER KABETE PRIMARY SCHOOL</t>
  </si>
  <si>
    <t>MUGUMO DAY NURSERY</t>
  </si>
  <si>
    <t>MATENDE CG PRIMARY</t>
  </si>
  <si>
    <t>KWA BULLO PRIMARY SCHOOL</t>
  </si>
  <si>
    <t>GATONGORA COMPREHENSIVE SCHOOL</t>
  </si>
  <si>
    <t>LUSIGETTI PRIMARY AND JUNIOR SCHOOL</t>
  </si>
  <si>
    <t>LANG'ATA POLICE ECDE CENTRE</t>
  </si>
  <si>
    <t>THIKA PRIMARY SCHOOL</t>
  </si>
  <si>
    <t>FGCK DAISY SPECIAL PRIMARY</t>
  </si>
  <si>
    <t>KIAWAIGURU PRIMARY SCHOOL</t>
  </si>
  <si>
    <t>AMALEMBA PRIMARY SCHOOL</t>
  </si>
  <si>
    <t>KHADIJA PRIMARY SCHOOL</t>
  </si>
  <si>
    <t>FRERETOWN PRIMARY SCHOOL</t>
  </si>
  <si>
    <t>MACIRI COMPREHENSIVE SCHOOL</t>
  </si>
  <si>
    <t>NEW PUMWANI PRIMARY</t>
  </si>
  <si>
    <t>SIMBA DAY NURSERY</t>
  </si>
  <si>
    <t>KABETE VETLAB COMPREHENSIVE SCHOOL</t>
  </si>
  <si>
    <t>EBUNG'AYA COMPREHENSIVE PRIMARY</t>
  </si>
  <si>
    <t>GATAARA COMPREHENSIVE SCHOOL</t>
  </si>
  <si>
    <t>BENSON NJAU PRIMARY SCHOOL</t>
  </si>
  <si>
    <t>KIBOKO COMPREHENSIVE SCHOOL</t>
  </si>
  <si>
    <t>GENERAL KAGO PRIMARY AND JUNIOR SECONDARY</t>
  </si>
  <si>
    <t>RWAMBURI PRIMARY SCHOOL</t>
  </si>
  <si>
    <t>MLALEO PRIMARY SCHOOL</t>
  </si>
  <si>
    <t>MARABA MUNICIPALITY PRIMARY</t>
  </si>
  <si>
    <t>MBAGATHI ROAD PRIMARY AND JUNIOR SECONDARY SCHOOL</t>
  </si>
  <si>
    <t>KABIRIA ROAD PRIMARY AND JUNIOR SECONDARY SCHOOL</t>
  </si>
  <si>
    <t>GATUURA PRIMARY SCHOOL</t>
  </si>
  <si>
    <t>GIKANG'A KAGECHE SECONDARY SCHOOL</t>
  </si>
  <si>
    <t>PENTROSE COMMUNITY PRIMARY SCHOOL</t>
  </si>
  <si>
    <t>MUGUMOINI COMPREHENSIVE SCHOOL</t>
  </si>
  <si>
    <t>BAMBURI PRIMARY SCHOOL</t>
  </si>
  <si>
    <t>MWIHOKO COMPREHENSIVE SCHOOL</t>
  </si>
  <si>
    <t>ACK RIABAI PRIMARY SCHOOL</t>
  </si>
  <si>
    <t>ELUKHO PRIMARY SCHOOL</t>
  </si>
  <si>
    <t>EDELVALE PRIMARY SCHOOL</t>
  </si>
  <si>
    <t>THINDIGUA PRIMARY SCHOOL</t>
  </si>
  <si>
    <t>SHADRACK KIMALEL PRIMARY AND JUNIOR SCHOOL</t>
  </si>
  <si>
    <t>TUMAINI PRIMARY AND JUNIOR SCHOOL</t>
  </si>
  <si>
    <t>AGA KHAN PRIMARY SCHOOL</t>
  </si>
  <si>
    <t>HURUMA PRIMARY AND JUNIOR SECONDARY SCHOOL</t>
  </si>
  <si>
    <t>MILIMANI SCHOOL PRIMARY AND JUNIOR SECONDARY SCHOOL</t>
  </si>
  <si>
    <t>KENGELENI PRIMARY SCHOOL</t>
  </si>
  <si>
    <t>BIBIRIONI PRIMARY SCHOOL</t>
  </si>
  <si>
    <t>KERWA PRIMARY AND JUNIOR SCHOOL</t>
  </si>
  <si>
    <t>GITUTHA PRIMARY SCHOOL</t>
  </si>
  <si>
    <t>KILIMANI PRIMARY AND JUNIOR SECONDARY SCHOOL</t>
  </si>
  <si>
    <t>ISLAMIA COMPREHENSIVE PRIMARY</t>
  </si>
  <si>
    <t>MOI AVENUE PRIMARY SCHOOL</t>
  </si>
  <si>
    <t>JUJA FARM PRIMARY SCHOOL</t>
  </si>
  <si>
    <t>KIMBO COMPREHENSIVE SCHOOL</t>
  </si>
  <si>
    <t>KARURA PRIMARY SCHOOL</t>
  </si>
  <si>
    <t>GOME PRIMARY AND JUNIOR SCHOOL</t>
  </si>
  <si>
    <t>UMOJA PRIMARY SCHOOL</t>
  </si>
  <si>
    <t>HESHIMA PRIMARY SCHOOL</t>
  </si>
  <si>
    <t>LAVINGTON PRIMARY SCHOOL</t>
  </si>
  <si>
    <t>BAHATI DAY NURSERY</t>
  </si>
  <si>
    <t>KARIOBANGI NORTH PRIMARY AND JUNIOR SCHOOL</t>
  </si>
  <si>
    <t>MARTIN LUTHER SCHOOL</t>
  </si>
  <si>
    <t>MUGUGA PRIMARY AND JUNIOR SCHOOL</t>
  </si>
  <si>
    <t>NGUNDU PRIMARY SCHOOL</t>
  </si>
  <si>
    <t>MUTHAIGA PRIMARY SCHOOL</t>
  </si>
  <si>
    <t>KIFARU COMPREHENSIVE SCHOOL</t>
  </si>
  <si>
    <t>MUTHURWA PRIMARY SCHOOL</t>
  </si>
  <si>
    <t>JOSEPH KANG'ETHE PRIMARY AND JUNIOR SCHOOL</t>
  </si>
  <si>
    <t>MARARUI PRIMARY SCHOOL</t>
  </si>
  <si>
    <t>PLAINSVIEW PRIMARY SCHOOL</t>
  </si>
  <si>
    <t>USHIRIKA PRIMARY AND JUNIOR SECONDARY SCHOOL</t>
  </si>
  <si>
    <t>MATHARE NORTH PRIMARY</t>
  </si>
  <si>
    <t>GARDEN ESTATE PRIMARY SCHOOL</t>
  </si>
  <si>
    <t>DANIEL COMBONI PRIMARY AND JUNIOR SECONDARY SCHOOL</t>
  </si>
  <si>
    <t>NJENGA KARUME COMPREHENSIVE SCHOOL</t>
  </si>
  <si>
    <t>KIRIGU PRIMARY AND JUNIOR SCHOOL</t>
  </si>
  <si>
    <t>THIKA ROAD PRIMARY AND JUNIOR SECONDARY SCHOOL</t>
  </si>
  <si>
    <t>BIDII PRIMARY SCHOOL</t>
  </si>
  <si>
    <t>VIJIWENI JUNIOR SCHOOL</t>
  </si>
  <si>
    <t>RABAI ROAD PRIMARY</t>
  </si>
  <si>
    <t>KILELESHWA PRIMARY AND JUNIOR SECONDARY SCHOOL</t>
  </si>
  <si>
    <t>FARASI LANE PRIMARY AND JUNIOR SECONDARY SCHOOL</t>
  </si>
  <si>
    <t>NJORO DAY NURSERY</t>
  </si>
  <si>
    <t>THIRIME PRIMARY AND JUNIOR SCHOOL</t>
  </si>
  <si>
    <t>HIGHWAY MANYATTA PRIMARY SCHOOL</t>
  </si>
  <si>
    <t>DAIMA PRIMARY AND JUNIOR SECONDARY SCHOOL</t>
  </si>
  <si>
    <t>CENTRAL DAY NURSERY</t>
  </si>
  <si>
    <t>DONHOLM COMPREHENSIVE SCHOOL</t>
  </si>
  <si>
    <t>TREESIDE SPECIAL SCHOOL</t>
  </si>
  <si>
    <t>PARKLANDS DAY NURSERY</t>
  </si>
  <si>
    <t>PETER KIBUKOSYA PRIMARY AND JUNIOR SCHOOL</t>
  </si>
  <si>
    <t>NILE ROAD SPECIAL SCHOOL</t>
  </si>
  <si>
    <t>HEIDEMARIE MATHARE 4A COMPREHENSIVE SCHOOL</t>
  </si>
  <si>
    <t>KAHAWA PRIMARY SCHOOL</t>
  </si>
  <si>
    <t>PUMWANI PRIMARY SCHOOL</t>
  </si>
  <si>
    <t>RIVERBANK PRIMARY SCHOOL</t>
  </si>
  <si>
    <t>STATE HOUSE PRIMARY SCHOOL</t>
  </si>
  <si>
    <t>KIHUMBUINI PRIMARY AND JUNIOR SECONDARY SCHOOL</t>
  </si>
  <si>
    <t>DRIVE IN PRIMARY AND JUNIOR SECONDARY SCHOOL</t>
  </si>
  <si>
    <t>JAMES GICHURU PRIMARY AND JUNIOR SECONDARY SCHOOL</t>
  </si>
  <si>
    <t>KIRENGA BOYS TECH HIGH SCHOOL</t>
  </si>
  <si>
    <t>KAMULU DAY NURSERY</t>
  </si>
  <si>
    <t>JEHOVAH JIREH PRIMARY SCHOOL</t>
  </si>
  <si>
    <t>FATHIL ADHIM PRIMARY SCHOOL</t>
  </si>
  <si>
    <t>LADY NORTHEY DAY NURSERY</t>
  </si>
  <si>
    <t>KILELESHWA DAY NURSERY</t>
  </si>
  <si>
    <t>UHURU ESTATE PRIMARY</t>
  </si>
  <si>
    <t>GITIBA PRIMARY AND JUNIOR SCHOOL</t>
  </si>
  <si>
    <t>CONCORDIA PRIMARY SCHOOL</t>
  </si>
  <si>
    <t>KWIHOTA PRIMARY SCHOOL</t>
  </si>
  <si>
    <t>MAHIGA PRIMARY AND JUNIOR SECONDARY SCHOOL</t>
  </si>
  <si>
    <t>PUMWANI DAY NURSERY</t>
  </si>
  <si>
    <t>RACECOURSE PRIMARY SCHOOL</t>
  </si>
  <si>
    <t>GITOTHUA PRIMARY SCHOOL</t>
  </si>
  <si>
    <t>MUGUGA GREEN PRIMARY SCHOOL</t>
  </si>
  <si>
    <t>MOWLEM SUPALOAF PRIMARY AND JUNIOR SECONDARY SCHOOL</t>
  </si>
  <si>
    <t>KARIOBANGI SOUTH PRIMARY AND JUNIOR SECONDARY SCHOOL</t>
  </si>
  <si>
    <t>CHEMCHE ACK PRIMARY SCHOOL</t>
  </si>
  <si>
    <t>NEW EASTLEIGH PRIMARY AND JUNIOR SCHOOL</t>
  </si>
  <si>
    <t>KIBORO PRIMARY SCHOOL</t>
  </si>
  <si>
    <t>OLM SHAURI MOYO GIRLS PRIMARY AND JUNIOR SCHOOL</t>
  </si>
  <si>
    <t>KONGONI PRIMARY SCHOOL</t>
  </si>
  <si>
    <t>GITHURAI PRIMARY SCHOOL</t>
  </si>
  <si>
    <t>BURUBURU 1 COMPREHENSIVE SCHOOL</t>
  </si>
  <si>
    <t>CANON APOLO PRIMARY AND JUNIOR SCHOOL</t>
  </si>
  <si>
    <t>KALOLENI PRIMARY SCHOOL</t>
  </si>
  <si>
    <t>NGEWA PRIMARY SCHOOL</t>
  </si>
  <si>
    <t>KALOLENI DAY NURSERY</t>
  </si>
  <si>
    <t>KENYATTA UNIVERSITY PRIMARY SCHOOL</t>
  </si>
  <si>
    <t>JACARANDA SPECIAL SCHOOL</t>
  </si>
  <si>
    <t>KOMOTHAI COMPREHENSIVE SCHOOL</t>
  </si>
  <si>
    <t>MANGUU PRIMARY SCHOOL</t>
  </si>
  <si>
    <t>ZAWADI PRIMARY SCHOOL</t>
  </si>
  <si>
    <t>BARAKA COMPREHENSIVE SCHOOL</t>
  </si>
  <si>
    <t>AINSWORTH PRIMARY SCHOOL</t>
  </si>
  <si>
    <t>NDUNG'U GIRLS SECONDARY SCHOOL</t>
  </si>
  <si>
    <t>LOWER KIHARA COMPREHENSIVE SCHOOL</t>
  </si>
  <si>
    <t>MARIAKANI PRIMARY SCHOOL</t>
  </si>
  <si>
    <t>JAMHURI COMPREHENSIVE SCHOOL</t>
  </si>
  <si>
    <t>KARURA FOREST SCHOOL</t>
  </si>
  <si>
    <t>JOSEPH APUDO PRIMARY SCHOOL</t>
  </si>
  <si>
    <t>MAKUTANO SECONDARY SCHOOL</t>
  </si>
  <si>
    <t>KALIMONI COMPREHENSIVE SCHOOL</t>
  </si>
  <si>
    <t>JOGOO ROAD PRIMARY SCHOOL</t>
  </si>
  <si>
    <t>GITHIMA PRIMARY AND JUNIOR SECONDARY SCHOOL</t>
  </si>
  <si>
    <t>MUCHATHA SECONDARY SCHOOL</t>
  </si>
  <si>
    <t>CGHU PRIMARY SCHOOL</t>
  </si>
  <si>
    <t>KAMUCHEGE SECONDARY SCHOOL</t>
  </si>
  <si>
    <t>OFAFA DAY NURSERY</t>
  </si>
  <si>
    <t>KIRIRI PRIMARY SCHOOL</t>
  </si>
  <si>
    <t>GATUURA SECONDARY SCHOOL</t>
  </si>
  <si>
    <t>GATHAITI SECONDARY SCHOOL</t>
  </si>
  <si>
    <t>LORESHO COMPREHENSIVE SCHOOL</t>
  </si>
  <si>
    <t>GACHARAGE SECONDARY SCHOOL</t>
  </si>
  <si>
    <t>DRUMVALE PRIMARY SCHOOL</t>
  </si>
  <si>
    <t>MAUA PRIMARY SCHOOL</t>
  </si>
  <si>
    <t>KHAOYA ERSF COMPREHENSIVE SCHOOL</t>
  </si>
  <si>
    <t>KAHUNIRA COMPREHENSIVE SCHOOL</t>
  </si>
  <si>
    <t>KAHUNIRA SECONDARY SCHOOL</t>
  </si>
  <si>
    <t>SANG'ALO RC PRIMARY AND JUNIOR SCHOOL</t>
  </si>
  <si>
    <t>BOHRA ROAD PRIMARY SCHOOL</t>
  </si>
  <si>
    <t>CITY PRIMARY SCHOOL</t>
  </si>
  <si>
    <t>OBINJU KANYAKWAR COMPREHENSIVE SCHOOL</t>
  </si>
  <si>
    <t>KIMENDE HIGH SCHOOL</t>
  </si>
  <si>
    <t>DEB KMC PRIMARY SCHOOL</t>
  </si>
  <si>
    <t>KISUMU UNION PRIMARY SCHOOL</t>
  </si>
  <si>
    <t>BUNGOMA MUSLIM PRIMARY AND JUNIOR SCHOOL</t>
  </si>
  <si>
    <t>MUTWOT PRIMARY AND JSS</t>
  </si>
  <si>
    <t>GIKABU MWANGAZA PRIMARY</t>
  </si>
  <si>
    <t>ANGIRA PRIMARY AND JUNIOR SECONDARY SCHOOL</t>
  </si>
  <si>
    <t>MIHANGO PRIMARY SCHOOL</t>
  </si>
  <si>
    <t>KAYOLE NORTH PRIMARY SCHOOL</t>
  </si>
  <si>
    <t>GITHUNGURI JET VIEW PRIMARY</t>
  </si>
  <si>
    <t>KAREN C PRIMARY AND JUNIOR SCHOOL</t>
  </si>
  <si>
    <t>KONDELE COMPREHENSIVE SCHOOL</t>
  </si>
  <si>
    <t>KIAWANDA PRIMARY SCHOOL</t>
  </si>
  <si>
    <t>KAMUKABI PRIMARY SCHOOL</t>
  </si>
  <si>
    <t>RWATHIA PRIMARY SCHOOL</t>
  </si>
  <si>
    <t>MUPELI DEB PRIMARY SCHOOL</t>
  </si>
  <si>
    <t>PANGANI PRIMARY SCHOOL</t>
  </si>
  <si>
    <t>KANJAI COMPREHENSIVE SCHOOL</t>
  </si>
  <si>
    <t>TIDO PRIMARY AND JUNIOR SCHOOL</t>
  </si>
  <si>
    <t>ELIMAMBO PRIMARY SCHOOL</t>
  </si>
  <si>
    <t>GICHURU BOYS HIGH SCHOOL</t>
  </si>
  <si>
    <t>GITITU PRIMARY SCHOOL</t>
  </si>
  <si>
    <t>KINYOGORI PRIMARY SCHOOL</t>
  </si>
  <si>
    <t>SSD PRIMARY SCHOOL</t>
  </si>
  <si>
    <t>KANYAMEDHA COMPREHENSIVE SCHOOL</t>
  </si>
  <si>
    <t>WANDUHI PRIMARY SCHOOL AND JUNIOR SECONDARY</t>
  </si>
  <si>
    <t>KIAMUTIGA PRIMARY SCHOOL</t>
  </si>
  <si>
    <t>IYEGO PRIMARY SCHOOL</t>
  </si>
  <si>
    <t>MATHARI PRIMARY SCHOOL</t>
  </si>
  <si>
    <t>TIGONI SECONDARY SCHOOL</t>
  </si>
  <si>
    <t>PARKROAD PRIMARY AND JUNIOR SECONDARY SCHOOL</t>
  </si>
  <si>
    <t>NYAITHEE PRIMARY SCHOOL</t>
  </si>
  <si>
    <t>ZIWANI DAY NURSERY ECDE CENTRE</t>
  </si>
  <si>
    <t>MUREMA PRIMARY SCHOOL</t>
  </si>
  <si>
    <t>MIAGAYUINI COMPREHENSIVE SCHOOL</t>
  </si>
  <si>
    <t>THARE PRIMARY AND JUNIOR SECONDARY SCHOOL</t>
  </si>
  <si>
    <t>WEITHAGA PRIMARY SCHOOL</t>
  </si>
  <si>
    <t>KIHINGO PRIMARY SCHOOL</t>
  </si>
  <si>
    <t>RWAKA PRIMARY SCHOOL</t>
  </si>
  <si>
    <t>KAGIRA PRIMARY AND JUNIOR SECONDARY SCHOOL</t>
  </si>
  <si>
    <t>THE KINYANJUI ROAD PRIMARY SCHOOL</t>
  </si>
  <si>
    <t>KANYANJARA PRIMARY AND JUNIOR SCHOOL</t>
  </si>
  <si>
    <t>GIATUTU PRIMARY AND JSS</t>
  </si>
  <si>
    <t>GITITHIA SECONDARY SCHOOL</t>
  </si>
  <si>
    <t>ACK DIOCESE OF MASENO SOUTH EZRA GUMBE COMPREHENSIVE SCHOOL</t>
  </si>
  <si>
    <t>SAMOYA RC PRIMARY SCHOOL</t>
  </si>
  <si>
    <t>NGUIRUBI SECONDARY SCHOOL</t>
  </si>
  <si>
    <t>SIKATA RC PRIMARY AND JUNIOR SCHOOL</t>
  </si>
  <si>
    <t>NGARA EAST DAY NURSERY</t>
  </si>
  <si>
    <t>KARIGUINI PRIMARY</t>
  </si>
  <si>
    <t>WANGUNYU COMPREHENSIVE SCHOOL</t>
  </si>
  <si>
    <t>THUITA PRIMARY SCHOOL</t>
  </si>
  <si>
    <t>KAMITI PRIMARY SCHOOL</t>
  </si>
  <si>
    <t>RIRUTA SATELLITE PRIMARY AND JUNIOR SCHOOL</t>
  </si>
  <si>
    <t>GIATHIEKO COMPREHENSIVE SCHOOL</t>
  </si>
  <si>
    <t>ITHANG'ARARI PRIMARY AND JSS</t>
  </si>
  <si>
    <t>WANJERERE PRIMARY SCHOOL</t>
  </si>
  <si>
    <t>SHAURI MOYO DAY NURSERY</t>
  </si>
  <si>
    <t>RIRONI SECONDARY SCHOOL</t>
  </si>
  <si>
    <t>NDAKAINI PRIMARY SCHOOL</t>
  </si>
  <si>
    <t>EMUKABA PRIMARY SCHOOL</t>
  </si>
  <si>
    <t>GATHAITHI UPPER PRIMARY SCHOOL</t>
  </si>
  <si>
    <t>MUKARARA HIGHSCHOOL</t>
  </si>
  <si>
    <t>RIRUTA HGM PRIMARY SCHOOL</t>
  </si>
  <si>
    <t>KIAIBABU PRIMARY SCHOOL</t>
  </si>
  <si>
    <t>NGONG FOREST PRIMARY SCHOOL</t>
  </si>
  <si>
    <t>DAGORETTI MUSLIM PRIMARY AND JUNIOR SECONDARY SCHOOL</t>
  </si>
  <si>
    <t>SINOKO DEB PRIMARY AND JUNIOR SCHOOL</t>
  </si>
  <si>
    <t>KAGIRA HIGH</t>
  </si>
  <si>
    <t>NGINDA PRIMARY SCHOOL</t>
  </si>
  <si>
    <t>NDERU PRIMARY SCHOOL</t>
  </si>
  <si>
    <t>NGEI PRIMARY SCHOOL</t>
  </si>
  <si>
    <t>KIAWAROGA PRIMARY SCHOOL</t>
  </si>
  <si>
    <t>KWA MANGELI PRIMARY SCHOOL</t>
  </si>
  <si>
    <t>KAREGA PRIMARY SCHOOL</t>
  </si>
  <si>
    <t>NDURARUA PRIMARY AND JUNIOR SCHOOL</t>
  </si>
  <si>
    <t>PCEA GATHANGARI COMPREHENSIVE SCHOOL</t>
  </si>
  <si>
    <t>IMARA COMPREHENSIVE SCHOOL</t>
  </si>
  <si>
    <t>THAWABU COMPREHENSIVE SCHOOL</t>
  </si>
  <si>
    <t>BONDENI COMPREHENSIVE SCHOOL</t>
  </si>
  <si>
    <t>UPPERHILL DAY NURSERY SCHOOL</t>
  </si>
  <si>
    <t>KIAMBURURU SECONDARY SCHOOL</t>
  </si>
  <si>
    <t>NGOORU PRIMARY SCHOOL</t>
  </si>
  <si>
    <t>MANGUO SECONDARY SCHOOL</t>
  </si>
  <si>
    <t>MORRISON PRIMARY AND JUNIOR SECONDARY SCHOOL</t>
  </si>
  <si>
    <t>KAREGA PRIMARY SCHOOL AND JUNIOR SECONDARY</t>
  </si>
  <si>
    <t>CHIEF MUTSEMBI COMPREHENSIVE PRIMARY</t>
  </si>
  <si>
    <t>RUTHIMITU PRIMARY AND JUNIOR SECONDARY SCHOOL</t>
  </si>
  <si>
    <t>KIBERA PRIMARY SCHOOL</t>
  </si>
  <si>
    <t>ZIWA LA NG'OMBE COMPREHENSIVE SCHOOL</t>
  </si>
  <si>
    <t>NYANJEGA PRIMARY SCHOOL</t>
  </si>
  <si>
    <t>OFAFA JERICHO PRIMARY SCHOOL</t>
  </si>
  <si>
    <t>WANDUMBI PRIMARY AND JUNIOR SECONDARY SCHOOL</t>
  </si>
  <si>
    <t>HARAMBEE PRIMARY SCHOOL</t>
  </si>
  <si>
    <t>UNITY COMPREHENSIVE SCHOOL</t>
  </si>
  <si>
    <t>MUTUINI PRIMARY AND JUNIOR SECONDARY SCHOOL</t>
  </si>
  <si>
    <t>GATUNE PRIMARY AND JUNIOR SCHOOL</t>
  </si>
  <si>
    <t>GITUGI PRIMARY SCHOOL</t>
  </si>
  <si>
    <t>NEMBU PRIMARY SCHOOL</t>
  </si>
  <si>
    <t>MUTUINI HIGH SCHOOL</t>
  </si>
  <si>
    <t>NJIRU PRIMARY SCHOOL</t>
  </si>
  <si>
    <t>OLKERI PRIMARY SCHOOL</t>
  </si>
  <si>
    <t>GITHIORO COMPREHENSIVE PRIMARY SCHOOL</t>
  </si>
  <si>
    <t>KIWANJA PRIMARY SCHOOL</t>
  </si>
  <si>
    <t>GICHUMBU PRIMARY SCHOOL</t>
  </si>
  <si>
    <t>KADZANDANI COMPREHENSIVE SCHOOL</t>
  </si>
  <si>
    <t>TOI PRIMARY AND JUNIOR SCHOOL</t>
  </si>
  <si>
    <t>MANGUO PRIMARY SCHOOL</t>
  </si>
  <si>
    <t>KANDUYI DEB PRIMARY SCHOOL</t>
  </si>
  <si>
    <t>GATUNGURU KARIARA PRIMARY AND JSS</t>
  </si>
  <si>
    <t>LIMURU MISSION PRIMARY SCHOOL</t>
  </si>
  <si>
    <t>SALAMA PRIMARY AND JUNIOR SECONDARY SCHOOL</t>
  </si>
  <si>
    <t>GITIHA SECONDARY SCHOOL</t>
  </si>
  <si>
    <t>WANYAGA PRIMARY SCHOOL AND JUNIOR SECONDARY</t>
  </si>
  <si>
    <t>OUR LADY OF MERCY PRIMARY AND JUNIOR SECONDARY SCHOOL</t>
  </si>
  <si>
    <t>THARUNI PRIMARY SCHOOL</t>
  </si>
  <si>
    <t>RWEGETHA PRIMARY SCHOOL</t>
  </si>
  <si>
    <t>KAMBURU SECONDARY SCHOOL</t>
  </si>
  <si>
    <t>KIUNYU PRIMARY SCHOOL</t>
  </si>
  <si>
    <t>GITIRI PRIMARY AND JSS</t>
  </si>
  <si>
    <t>GITHIGA COMPREHENSIVE SCHOOL</t>
  </si>
  <si>
    <t>RWAITIRA PRIMARY AND JSS</t>
  </si>
  <si>
    <t>MUKUYU SECONDARY SCHOOL</t>
  </si>
  <si>
    <t>PCEA GITHUNGURI COMPREHENSIVE SCHOOL</t>
  </si>
  <si>
    <t>KAHATIA PRIMARY SCHOOL</t>
  </si>
  <si>
    <t>KAMONJONI PRIMARY AND JUNIOR SCHOOL</t>
  </si>
  <si>
    <t>NGUNGUGU PRIMARY AND JSS</t>
  </si>
  <si>
    <t>CHIEF WANDIE PRIMARY SCHOOL</t>
  </si>
  <si>
    <t>KIHUMBUINI PRIMARY SCHOOL</t>
  </si>
  <si>
    <t>BONDENI PRIMARY</t>
  </si>
  <si>
    <t>MUKARARA PRIMARY AND JUNIOR SECONDARY SCHOOL</t>
  </si>
  <si>
    <t>OLYMPIC PRIMARY AND JUNIOR SCHOOL</t>
  </si>
  <si>
    <t>BABA DOGO PRIMARY AND JUNIOR SECONDARY SCHOOL</t>
  </si>
  <si>
    <t>MM CHANDARIA PRIMARY AND JUNIOR SECONDARY SCHOOL</t>
  </si>
  <si>
    <t>MUKARARA PRIMARY SCHOOL</t>
  </si>
  <si>
    <t>GARISSA ROAD COMPREHENSIVE SCHOOL</t>
  </si>
  <si>
    <t>NEW KIHUMBUINI PRIMARY AND JUNIOR SECONDARY SCHOOL</t>
  </si>
  <si>
    <t>NGARARIGA COMPREHENSIVE SCHOOL</t>
  </si>
  <si>
    <t>RONGAI PRIMARY SCHOOL</t>
  </si>
  <si>
    <t>GITHAMBIA PRIMARY SCHOOL</t>
  </si>
  <si>
    <t>GATATHA COMPREHENSIVE SCHOOL</t>
  </si>
  <si>
    <t>KIGWE PRIMARY SCHOOL</t>
  </si>
  <si>
    <t>SHITAHO COMMUNITY PRIMARY</t>
  </si>
  <si>
    <t>CIIKO PRIMARY</t>
  </si>
  <si>
    <t>UHURU GARDENS PRIMARY AND JUNIOR SCHOOL</t>
  </si>
  <si>
    <t>KANGEMI PRIMARY SCHOOL</t>
  </si>
  <si>
    <t>MAHIA</t>
  </si>
  <si>
    <t>KASARANI PRIMARY SCHOOL</t>
  </si>
  <si>
    <t>NGEMWA PRIMARY AND JUNIOR SCHOOL</t>
  </si>
  <si>
    <t>CHOMO PRIMARY SCHOOL</t>
  </si>
  <si>
    <t>AK MAGUGU COMPREHENSIVE SCHOOL</t>
  </si>
  <si>
    <t>GAITHURI PRIMARY SCHOOL</t>
  </si>
  <si>
    <t>IKINU PRIMARY SCHOOL</t>
  </si>
  <si>
    <t>GACHUI DAY NURSERY</t>
  </si>
  <si>
    <t>GAKURARI PRIMARY SCHOOL</t>
  </si>
  <si>
    <t>ENOOMATASIANI COMPREHENSIVE SCHOOL</t>
  </si>
  <si>
    <t>TOLL MODEL PRIMARY SCHOOL</t>
  </si>
  <si>
    <t>KARURI COMPREHENSIVE SCHOOL</t>
  </si>
  <si>
    <t>MUKHAWELI MMK TOWNSHIP PRIMARY SCHOOL</t>
  </si>
  <si>
    <t>KISERIAN PRIMARY SCHOOL</t>
  </si>
  <si>
    <t>KAMUNYAKA KIUMU PRIMARY AND JSS</t>
  </si>
  <si>
    <t>BATHI SECONDARY SCHOOL</t>
  </si>
  <si>
    <t>UTANGE COMPREHENSIVE SCHOOL</t>
  </si>
  <si>
    <t>MATUGUTA PRIMARY SCHOOL</t>
  </si>
  <si>
    <t>JUJA ROAD PRIMARY SCHOOL</t>
  </si>
  <si>
    <t>GATUMBIRO COMPREHENSIVE SCHOOL</t>
  </si>
  <si>
    <t>LWANDA FYM PRIMARY AND JUNIOR SCHOOL</t>
  </si>
  <si>
    <t>GITEME PRIMARY AND JSS</t>
  </si>
  <si>
    <t>NYAGA SECONDARY SCHOOL</t>
  </si>
  <si>
    <t>NYANJEGA SECONDARY SCHOOL</t>
  </si>
  <si>
    <t>KAMANDURA PRIMARY SCHOOL</t>
  </si>
  <si>
    <t>KIBIKU PRIMARY AND JUNIOR SCHOOL</t>
  </si>
  <si>
    <t>GIKUU PRIMARY SCHOOL</t>
  </si>
  <si>
    <t>MAKUTANO SA PRIMARY SCHOOL</t>
  </si>
  <si>
    <t>OASIS PRIMARY SCHOOL</t>
  </si>
  <si>
    <t>MARURA PRIMARY AND JUNIOR SECONDARY SCHOOL</t>
  </si>
  <si>
    <t>ILLULA INTEGRATED PRIMARY AND JSS</t>
  </si>
  <si>
    <t>MUSIKOMA RC PRIMARY SCHOOL</t>
  </si>
  <si>
    <t>KIMANDI COMPREHENSIVE SCHOOL</t>
  </si>
  <si>
    <t>CHERAMEI PRIMARY AND JSS</t>
  </si>
  <si>
    <t>GATHUTHU PRIMARY AND JSS</t>
  </si>
  <si>
    <t>EBWAMBWA COMPREHENSIVE PRIMARY</t>
  </si>
  <si>
    <t>CHIEKO COMPREHENSIVE SCHOOL</t>
  </si>
  <si>
    <t>ELDORET BOARDER FARM PRIMARY SCHOOL</t>
  </si>
  <si>
    <t>OGANGO COMPREHENSIVE SCHOOL</t>
  </si>
  <si>
    <t>KIDIWA PRIMARY SCHOOL</t>
  </si>
  <si>
    <t>ELDORET CHEBARUS PRIMARY AND JUNIOR SCHOOL</t>
  </si>
  <si>
    <t>RIRONI PRIMARY SCHOOL</t>
  </si>
  <si>
    <t>KAKAMEGA MUSLIM COMPREHENSIVE PRIMARY</t>
  </si>
  <si>
    <t>LANGAS PRIMARY SCHOOL</t>
  </si>
  <si>
    <t>CENTRAL BAPTIST PRIMARY SCHOOL</t>
  </si>
  <si>
    <t>KABUKU PRIMARY SCHOOL</t>
  </si>
  <si>
    <t>MIIRI PRIMARY SCHOOL</t>
  </si>
  <si>
    <t>GATURA PRIMARY SCHOOL</t>
  </si>
  <si>
    <t>MWIRUTI PRIMARY SCHOOL</t>
  </si>
  <si>
    <t>GREENFIELD COMPREHENSIVE SCHOOL</t>
  </si>
  <si>
    <t>NDIRETI PRIMARY SCHOOL</t>
  </si>
  <si>
    <t>KAPKOROS PRIMARY AND JSS</t>
  </si>
  <si>
    <t>SOSIANI PRIMARY SCHOOL</t>
  </si>
  <si>
    <t>GITUAMBA PRIMARY AND JSS</t>
  </si>
  <si>
    <t>HURUMA PRIMARY SCHOOL</t>
  </si>
  <si>
    <t>MWIKI PRIMARY SCHOOL</t>
  </si>
  <si>
    <t>KAPKENDUIYWO PRIMARY SCHOOL</t>
  </si>
  <si>
    <t>KAHUMBU PRIMARY SCHOOL</t>
  </si>
  <si>
    <t>KIAMBAA PRIMARY AND JSS</t>
  </si>
  <si>
    <t>WANGIGE COMPREHENSIVE SCHOOL</t>
  </si>
  <si>
    <t>KAPYEMIT PRIMARY AND JSS</t>
  </si>
  <si>
    <t>KAPCHUMBA PRIMARY AND JSS</t>
  </si>
  <si>
    <t>GITHUNGURI TECHNICAL &amp; SECONDARY SCHOOL</t>
  </si>
  <si>
    <t>NDUMA PRIMARY AND JUNIOR SCHOOL</t>
  </si>
  <si>
    <t>KIPKAREN ROAD PRIMARY SCHOOL</t>
  </si>
  <si>
    <t>KAKAMEGA TOWNSHIP PRIMARY</t>
  </si>
  <si>
    <t>KANYIHA PRIMARY AND JUNIOR SCHOOL</t>
  </si>
  <si>
    <t>KAMANGU PRIMARY AND JUNIOR SCHOOL</t>
  </si>
  <si>
    <t>OLE KASASI PRIMARY SCHOOL</t>
  </si>
  <si>
    <t>NJUMBI PRIMARY AND JUNIOR SCHOOL</t>
  </si>
  <si>
    <t>KAKAMEGA PRIMARY AND JUNIOR SCHOOL</t>
  </si>
  <si>
    <t>MAKUYU PRIMARY SCHOOL</t>
  </si>
  <si>
    <t>MUNGLU SCHOOL</t>
  </si>
  <si>
    <t>GATHIRUINI PRIMARY SCHOOL</t>
  </si>
  <si>
    <t>STATE LODGE VIEW PRIMARY SCHOOL</t>
  </si>
  <si>
    <t>PCEA KARIA COMPREHENSIVE SCHOOL</t>
  </si>
  <si>
    <t>CHEPKOILEL CENTRAL PRIMARY AND JSS</t>
  </si>
  <si>
    <t>KOMAROCK SOUTH COMPREHENSIVE SCHOOL</t>
  </si>
  <si>
    <t>GATIIGURU PRIMARY AND JSS</t>
  </si>
  <si>
    <t>RACECOURSE PRIMARY</t>
  </si>
  <si>
    <t>KIVULINI COMPREHENSIVE SCHOOL</t>
  </si>
  <si>
    <t>KIBUNJA HIGHWAY SCHOOL</t>
  </si>
  <si>
    <t>KIBAAKA COMPREHENSIVE SCHOOL</t>
  </si>
  <si>
    <t xml:space="preserve">NDUNYU CHEGE PRIMARY AND JUNIOR SECONDARY SCHOOL </t>
  </si>
  <si>
    <t>MBOTELA DAY NURSERY</t>
  </si>
  <si>
    <t>NYORO PRIMARY SCHOOL</t>
  </si>
  <si>
    <t>BAHATI PRIMARY AND JUNIOR SECONDARY SCHOOL</t>
  </si>
  <si>
    <t>KINGEERO COMPREHENSIVE SCHOOL</t>
  </si>
  <si>
    <t>MABAE COMPREHENSIVE SCHOOL</t>
  </si>
  <si>
    <t>GATITU COMPREHENSIVE SCHOOL</t>
  </si>
  <si>
    <t xml:space="preserve">KIAIRIA PRIMARY AND JUNIOR SECONDARY SCHOOL </t>
  </si>
  <si>
    <t>MWIKI COMPREHENSIVE SCHOOL</t>
  </si>
  <si>
    <t>KOMAROCK PRIMARY AND JUNIOR SCHOOL</t>
  </si>
  <si>
    <t>LANG'ATA WEST PRIMARY</t>
  </si>
  <si>
    <t>CURA COMPREHENSIVE SCHOOL</t>
  </si>
  <si>
    <t>MARY IMMACULATE PRIMARY AND JSS</t>
  </si>
  <si>
    <t>KIGWANDI PRIMARY SCHOOL</t>
  </si>
  <si>
    <t>ELUFAFWA COMMUNITY SCHOOL</t>
  </si>
  <si>
    <t>KARURA KA NYUNGU COMPREHENSIVE SCHOOL</t>
  </si>
  <si>
    <t>THIMBIGUA PRIMARY SCHOOL</t>
  </si>
  <si>
    <t>KIMUCHU PRIMARY SCHOOL</t>
  </si>
  <si>
    <t>NGECHA PRIMARY SCHOOL</t>
  </si>
  <si>
    <t>KIAMBURURU COMPREHENSIVE SCHOOL</t>
  </si>
  <si>
    <t>UPPER KIHARA COMPREHENSIVE SCHOOL</t>
  </si>
  <si>
    <t>ACK KIRANGARI PRIMARY AND JUNIOR SCHOOL</t>
  </si>
  <si>
    <t>KINDIGA COMPREHENSIVE SCHOOL</t>
  </si>
  <si>
    <t>ACK NDURARUA PRIMARY AND JUNIOR SCHOOL</t>
  </si>
  <si>
    <t>KAHUHO PRIMARY AND JUNIOR SCHOOL</t>
  </si>
  <si>
    <t>KAMBUI PRIMARY AND JUNIOR SCHOOL</t>
  </si>
  <si>
    <t>GACII COMPREHENSIVE SCHOOL</t>
  </si>
  <si>
    <t>KAMUIRU COMPREHENSIVE SCHOOL</t>
  </si>
  <si>
    <t>NDONGORO COMPREHENSIVE SCHOOL</t>
  </si>
  <si>
    <t xml:space="preserve">School </t>
  </si>
  <si>
    <t>Have  for now</t>
  </si>
  <si>
    <t xml:space="preserve"> on my end</t>
  </si>
  <si>
    <t xml:space="preserve"> as at now</t>
  </si>
  <si>
    <t xml:space="preserve"> at the moment</t>
  </si>
  <si>
    <t xml:space="preserve"> because everything was okay</t>
  </si>
  <si>
    <t>s</t>
  </si>
  <si>
    <t>ATHE PRIMARY AND JUNIOR SECONDARY SCHOOL</t>
  </si>
  <si>
    <t>I was uble to access the maps coordites on my phone thus had to use the termil</t>
  </si>
  <si>
    <t>Co ordition among teachers when collecting the registers</t>
  </si>
  <si>
    <t>I was eble to notice the overall school attendance per day</t>
  </si>
  <si>
    <t>For me the head of institution declined to give me population thus requesting for a better communication with the head of institution for a professiol documents to support the population collection</t>
  </si>
  <si>
    <t>Please let the gps data be optiol and no a must</t>
  </si>
  <si>
    <t>It was so easy to vigate</t>
  </si>
  <si>
    <t>I contacted head count persolly from grade to another and the exercise was awesome coz I interacted one on one with the learners and class teacher this got accurate numbers</t>
  </si>
  <si>
    <t>On my part the app was easy to use and made the exercise mageable</t>
  </si>
  <si>
    <t>RAILA EDUCATIOL CENTRE</t>
  </si>
  <si>
    <t>Network challenges occasiolly delayed data collection</t>
  </si>
  <si>
    <t>The stage that requires GPS at the gate for fil submission</t>
  </si>
  <si>
    <t>Automation of GPS location using termil location</t>
  </si>
  <si>
    <t>By the help of Ecd mager</t>
  </si>
  <si>
    <t>Add offline functiolity</t>
  </si>
  <si>
    <t>Getting the fil figure</t>
  </si>
  <si>
    <t>NYATHU COMPREHENSIVE SCHOOL</t>
  </si>
  <si>
    <t>The platform ebled real time data collection which is really nice</t>
  </si>
  <si>
    <t>I maged to collect data from grade to grade</t>
  </si>
  <si>
    <t>Getting the fil figures</t>
  </si>
  <si>
    <t>The tool was easy to vigate</t>
  </si>
  <si>
    <t>TA CRESCENT DAY NURSERY</t>
  </si>
  <si>
    <t>Combition of the whole class than doing  girls and boys</t>
  </si>
  <si>
    <t>Make it interlinked with the termil or tap to eat app</t>
  </si>
  <si>
    <t>An additiol tapper would really help since some kids  avoid our meals or come late for tapping due to the long queues</t>
  </si>
  <si>
    <t>An additiol tapper would really help since some of the kids come after meals are over or fail to tap due to the long queues</t>
  </si>
  <si>
    <t>Total Population collection could be rrowed down to be submitted in two weeks</t>
  </si>
  <si>
    <t>KAANI PRIMARY SCHOOL</t>
  </si>
  <si>
    <t>By allocating a serving shade and a small store and an increase in salary because someone times we are uble to submit some of the information with immediate effect due to idequate money to cater for data all the times</t>
  </si>
  <si>
    <t>Look for an other altertive</t>
  </si>
  <si>
    <t>BUKACHI FYM PRIMARY AND JUNIOR SCHOOL</t>
  </si>
  <si>
    <t>OUR LADY OF ZARETH PRIMARY</t>
  </si>
  <si>
    <t>ROLD NGALA PRIMARY AND JUNIOR SECONDARY SCHOOL</t>
  </si>
  <si>
    <t>Improve on drop down mostly sub  county county  abd picking school on persol phone</t>
  </si>
  <si>
    <t>I had challenge in filing the data using my persol phone because I refreshed the link but no drop down for sub region and school</t>
  </si>
  <si>
    <t>It was easy to vigate</t>
  </si>
  <si>
    <t>Finces has been  a challenge when it comes to purchasing data</t>
  </si>
  <si>
    <t>KINYO PRIMARY SCHOOL</t>
  </si>
  <si>
    <t>BUK PRIMARY AND JUNIOR SECONDARY SCHOOL</t>
  </si>
  <si>
    <t>Not all devices have the drop down of school mes and regions</t>
  </si>
  <si>
    <t>To be professiol</t>
  </si>
  <si>
    <t>LE PRIMARY SCHOOL</t>
  </si>
  <si>
    <t>The termil can't access location hence I had to use my phone</t>
  </si>
  <si>
    <t>Find a way we can use the termil to get the population</t>
  </si>
  <si>
    <t>LUTIRI S/A PRIMARY AND JUNIOR SCHOOL</t>
  </si>
  <si>
    <t>Make it as questionire in all the attempts so that we just pick the appropriate answers</t>
  </si>
  <si>
    <t>Make that process short and brief explation to some areas</t>
  </si>
  <si>
    <t>ATS KANDIE PRIMARY SCHOOL</t>
  </si>
  <si>
    <t>BONGO COMPREHENSIVE PRIMARY</t>
  </si>
  <si>
    <t>KARANGI KIA PRIMARY SCHOOL AND JUNIOR SECONDARY</t>
  </si>
  <si>
    <t>ABBA SALAMA WANCHI PRIMARY SCHOOL</t>
  </si>
  <si>
    <t>A challenge I encounter was when the headteacher was uvailable and the deputy headteacher was busy and engaged making it difficullt to get to get a stamped copy the current school population</t>
  </si>
  <si>
    <t>Maybe reduce the parts that require additiol information</t>
  </si>
  <si>
    <t>Ecde magers can be intergrated better</t>
  </si>
  <si>
    <t>I maged to get the population which was hard to get</t>
  </si>
  <si>
    <t>Enhance the tool's speed and offline functiolity</t>
  </si>
  <si>
    <t>GATUABU PRIMARY AND JUNIOR SCHOOL</t>
  </si>
  <si>
    <t xml:space="preserve"> so far</t>
  </si>
  <si>
    <t>I have  more to share</t>
  </si>
  <si>
    <t xml:space="preserve"> for now</t>
  </si>
  <si>
    <t xml:space="preserve"> yet</t>
  </si>
  <si>
    <t xml:space="preserve"> everything is okay</t>
  </si>
  <si>
    <t xml:space="preserve"> it's all good</t>
  </si>
  <si>
    <t xml:space="preserve"> to improve</t>
  </si>
  <si>
    <t>There is really  to improve since the tool was easy to understand and fill in the details</t>
  </si>
  <si>
    <t xml:space="preserve"> much</t>
  </si>
  <si>
    <t>The daily attendance report has been quite tricky to take since not all teachers are ready to cooperateOne day I went to get the attendance and was told attendance is same as yesterday yet the class had alot of empty seats</t>
  </si>
  <si>
    <t>Simple totals section instead of the boys and girls totals</t>
  </si>
  <si>
    <t>Seamless vigation</t>
  </si>
  <si>
    <t>GPS location was challenging</t>
  </si>
  <si>
    <t>I like the layoutNo suggestion</t>
  </si>
  <si>
    <t>ST GEORGE'S COMPREHENSIVE SCHOOL</t>
  </si>
  <si>
    <t>It's quite easy to maneuver And one cannot loose data once you leave the site</t>
  </si>
  <si>
    <t>Comparing the total daily attendance and the total meals served daily as it is crucial to find the percentage of feeding kids</t>
  </si>
  <si>
    <t>Collection of daily school attendance is challenging as some teachers don't update their registers daily</t>
  </si>
  <si>
    <t>All is good</t>
  </si>
  <si>
    <t>Everything went on well without any hitches experienced</t>
  </si>
  <si>
    <t>ST FRANCIS MUGAI COMPREHENSIVE PRIMARY</t>
  </si>
  <si>
    <t>PCEA MAMA NGI KENYATTA COMPREHENSIVE</t>
  </si>
  <si>
    <t>It was so accurate</t>
  </si>
  <si>
    <t>Apart from it being efficient and fast  I don't see any change that will make it more better than it is at the moment</t>
  </si>
  <si>
    <t>Enhance quick access for location</t>
  </si>
  <si>
    <t>Good collection tool</t>
  </si>
  <si>
    <t>Mine was fastalthough I haven't tried doing it offline</t>
  </si>
  <si>
    <t>It would be better if you asked us the overall number instead of ' number of boys and girls per class'</t>
  </si>
  <si>
    <t>Already said in the previous question</t>
  </si>
  <si>
    <t>It was easythe location was easy to allocate</t>
  </si>
  <si>
    <t>Automatic calculation of numberseasy to use both online and offlinesaves unsent data in drafts to load later</t>
  </si>
  <si>
    <t>The Kobo app is faster and easier to use since you can still save your work as draft and come back to continue</t>
  </si>
  <si>
    <t>Improve on location pick up the app was a bit slower on picking the GPS</t>
  </si>
  <si>
    <t>No recommendations for now</t>
  </si>
  <si>
    <t>Collection of data has been made more easier compared to previous times were we had to take pictures from registers and scan then send</t>
  </si>
  <si>
    <t>Accessibility was a bit hard at first</t>
  </si>
  <si>
    <t>The exercise was easy by the help of the kopo tool</t>
  </si>
  <si>
    <t>I was able to feed all the population data</t>
  </si>
  <si>
    <t>Population data collection was completed successfully within the set timeline The Kobo tool was easy to use and vigate Data submission was smooth with minimal technical challenges Support from the team was readily available when needed</t>
  </si>
  <si>
    <t>Intermittent internet connectivity affected synchronization in some instances Some respondents required additiol clarification on the data collection requirements A few delays were experienced during data verification</t>
  </si>
  <si>
    <t>Provide refresher training before future data collection exercises Improve communication on timelines and expectations Enhance offline functiolity and synchronization speed Share clear data collection guidelines in advance</t>
  </si>
  <si>
    <t>Thank you for the support throughout the exercise The process was well coordited and provided valuable learning opportunities for future data collection activities</t>
  </si>
  <si>
    <t>GITIBA PRIMARY AND ECDE SCHOOL</t>
  </si>
  <si>
    <t>The school administration was very supportive in sharing the population data</t>
  </si>
  <si>
    <t>To improve on efficiency of online link Sometimes it's abit slow</t>
  </si>
  <si>
    <t>I appreciate the app it more efficient than link</t>
  </si>
  <si>
    <t>The menu of cowpeas was well received The parents are very supportive with the insufficient accounts being top up after following up the parents</t>
  </si>
  <si>
    <t>I will really be greatful if I can get a server</t>
  </si>
  <si>
    <t>The number of kids have stabilized</t>
  </si>
  <si>
    <t>The application is user friendly therefore making Data submission easy</t>
  </si>
  <si>
    <t>TING'ANG'A HGM PRIMARY SCHOOL</t>
  </si>
  <si>
    <t>ST PETER'S NDENGELWA RC PRIMARY AND JUNIOR SCHOOL</t>
  </si>
  <si>
    <t>Easy to use Data accessible if paused filling and needed to continue later</t>
  </si>
  <si>
    <t>The Kobo app is fast and easy for someone to understand The collection grew a great impact to understand the feeding pattern of the kids</t>
  </si>
  <si>
    <t>The data it's not accurate some kids are out while collecting and some teachers they don't allow you in even if they know about the data Daly collection</t>
  </si>
  <si>
    <t>The collection to be done fast week of the month and last week of the month</t>
  </si>
  <si>
    <t>The process was smoothit was well simplified</t>
  </si>
  <si>
    <t>Sometimes it's had to do a headcount in classes during lessons timeit interferes with the teaching programme</t>
  </si>
  <si>
    <t>The population collection tool is simplified It is easy</t>
  </si>
  <si>
    <t>Allowing us to edit out mistakes even after saving the data</t>
  </si>
  <si>
    <t>It is capturing data well</t>
  </si>
  <si>
    <t>It's working well</t>
  </si>
  <si>
    <t>It's good mode of data collection</t>
  </si>
  <si>
    <t>ST BASIL LURAMBI COMPREHENSIVE PRIMARY</t>
  </si>
  <si>
    <t>I did not encounter any challenges</t>
  </si>
  <si>
    <t>The interface could be made more intuitive for first time users</t>
  </si>
  <si>
    <t>Swift step by step process with user friendly interface and features</t>
  </si>
  <si>
    <t>Check on the upload process since my side can be submitted successfully yet on your end you don't have the data</t>
  </si>
  <si>
    <t>Let's feed the future</t>
  </si>
  <si>
    <t>Auto save prevented data loss The tool was user friendly Data entry was fast and friendly</t>
  </si>
  <si>
    <t>If the baseline population data is available in the F4E servers kindly avail it for me The school administration here does not have have such data available in their records</t>
  </si>
  <si>
    <t>The administration trusted me with their records</t>
  </si>
  <si>
    <t>More time to convince the administration that our intentions are right with their records</t>
  </si>
  <si>
    <t>The app was not responding but called my PDA for assistance</t>
  </si>
  <si>
    <t>I was given all the details required so it was easy to answer the questions</t>
  </si>
  <si>
    <t>The type of questions asked</t>
  </si>
  <si>
    <t>Maybe next time let it have specific questions like if it is a primary school let it not have questions that belongs to secondary schools</t>
  </si>
  <si>
    <t>No other comment</t>
  </si>
  <si>
    <t xml:space="preserve">So far I haven't had any major challenge that I can't handle so we are okay </t>
  </si>
  <si>
    <t>The Deputy Head Teacher had collected and documented the school population before hand so feeling the data was very easy</t>
  </si>
  <si>
    <t>The location part when using the link needs improvement because mine refused to fetch the coordites</t>
  </si>
  <si>
    <t>Give bundles because the task uses a lot</t>
  </si>
  <si>
    <t>The app is easier to access and it is well arranged in any way you used to collect the population</t>
  </si>
  <si>
    <t>I didn't see any problem with the tool</t>
  </si>
  <si>
    <t>I didn't experience any issue while collecting data</t>
  </si>
  <si>
    <t>Coordites were well captured</t>
  </si>
  <si>
    <t>The work was done accordingly</t>
  </si>
  <si>
    <t>ST ELIZABETH MUYAYI RC</t>
  </si>
  <si>
    <t>PCEA GATHAITHI AND JUNIOR SECONDARY SCHOOL</t>
  </si>
  <si>
    <t>Kobo is user friendly It is easy to work with</t>
  </si>
  <si>
    <t>ST JOHN BOSCO PRIMARY</t>
  </si>
  <si>
    <t>Data collection process was clearTool was easy to use</t>
  </si>
  <si>
    <t xml:space="preserve">Allow overall population count per class instead of separating boys and girls it consume alot of time </t>
  </si>
  <si>
    <t>Allow us to do an overall class count instead of separating boys and girls It will save time and reduce errors</t>
  </si>
  <si>
    <t>Kindly let the response be prompt To be sure the uploading is correct</t>
  </si>
  <si>
    <t xml:space="preserve">Number of students feeding remaining constant </t>
  </si>
  <si>
    <t>Number of manual deduction still high (kids forgetting tags at home and parents refusing to top up for replacement)High failed taps due vulnerability</t>
  </si>
  <si>
    <t>There was unwaivering support and cooperation from the admin who provided me with the required accurate data</t>
  </si>
  <si>
    <t xml:space="preserve"> Everything was smooth and effective</t>
  </si>
  <si>
    <t>I appreciated being able to see the data before submitting I liked how the steps were clear and in flow</t>
  </si>
  <si>
    <t>It was the best method of data collection It was the easiest method of data collection</t>
  </si>
  <si>
    <t>Some of the admins didn't have baseline populations so it finds hard to get the baseline population Some of the admins were busy so you have to be patient for a long time so that you can acquire the data</t>
  </si>
  <si>
    <t>Give more time during search an exercise Improve on the tool so that during the log in it should be easier rather than authaendicating everytimee</t>
  </si>
  <si>
    <t>When improved on the tool is the most accurate tool i have ever used</t>
  </si>
  <si>
    <t>It was easily accessible It stored data well without having to retype again</t>
  </si>
  <si>
    <t>I didn't face any challenge with the online link</t>
  </si>
  <si>
    <t>When i went to School Admin (HOI) he cooperated and he asked senior teacher to take class registers and hand over the data in the registers</t>
  </si>
  <si>
    <t>Atleast you should be specific on matters of time atleast give allowance or give more time like two weeks</t>
  </si>
  <si>
    <t>Then when it comes to the app atleast it should showing notification it requires update some core workers went though hard time thank</t>
  </si>
  <si>
    <t>What went well is that i can use the app when im offline because not all the times i have dataits fastIts easier to use it</t>
  </si>
  <si>
    <t>Everything was smooth I liked the fact that the progress is saved so you don't have to start afresh incase I exit abruptly</t>
  </si>
  <si>
    <t>I don't think any improvement is needed</t>
  </si>
  <si>
    <t>The whole process was easy to understand and fill in</t>
  </si>
  <si>
    <t>Do away with the school coordites May it apply only on a new school that is beginning the program Can include a section where buy we do a survey on how many students at school level are registered under the program</t>
  </si>
  <si>
    <t>I was suggesting that moving forward that under the baseline population of a school you indicated for us the number  That is the previous term population to help us compare the previous term and the current term</t>
  </si>
  <si>
    <t>PCEA THOGOTO PRIMARY AND JUNIOR SCHOOL</t>
  </si>
  <si>
    <t>The form was user friendly It guided</t>
  </si>
  <si>
    <t>It's very fast and accurate  very easy to use</t>
  </si>
  <si>
    <t>The link is fast and efficient</t>
  </si>
  <si>
    <t>Every step was leading to the next  All went well</t>
  </si>
  <si>
    <t>I didn't not any point of improvement</t>
  </si>
  <si>
    <t xml:space="preserve">I suggest that the program baseline should be stored online to avoid distortion when new admins assumes office </t>
  </si>
  <si>
    <t>The Kobo app can be improved to make it more accessible and easier to use</t>
  </si>
  <si>
    <t>Data collection was smooth as the admin was cooperative and supportive I was able to cross checked the data given and it was very accurate</t>
  </si>
  <si>
    <t>When browsing for a supportive document maybe you allow CamScanner because I had More than one document which need to be uploaded</t>
  </si>
  <si>
    <t>A feature where we can access the record of the school population since the start of the program now the we have been uploading school population in a termly basis</t>
  </si>
  <si>
    <t>An overall grade attendance when doing daily attendance because recording grade per grade girls and boys takes a lot of time</t>
  </si>
  <si>
    <t xml:space="preserve"> The data collection was completed within the required timeline The school magement collaborated effectively throughout the exercise</t>
  </si>
  <si>
    <t>WEKELEKHA RC SCHOOL</t>
  </si>
  <si>
    <t>Parents understanding the accounts well and how to pay</t>
  </si>
  <si>
    <t>For you and our bosses to work in counties and talk to parents who still have doubt</t>
  </si>
  <si>
    <t>Good and much reliable food</t>
  </si>
  <si>
    <t>Everything I had no issue</t>
  </si>
  <si>
    <t>It's user friendlyEasier to input data</t>
  </si>
  <si>
    <t>Data collection was smoothThe tool was easy to use</t>
  </si>
  <si>
    <t>Minor delays experienced during data collection</t>
  </si>
  <si>
    <t>Everything went well it was easy to collect the data grade by grade</t>
  </si>
  <si>
    <t>No challenges faced the admin gave maximum support with the activity</t>
  </si>
  <si>
    <t>The exercise was successful from my end</t>
  </si>
  <si>
    <t>It was a little to access the draft in cases where I had nor completed filling the data</t>
  </si>
  <si>
    <t>The overall experience with KoboToolbox was positive and efficient Thank you for the support and coordition throughout the data collection process</t>
  </si>
  <si>
    <t>ST DOMINICS PRIMARY SCHOOL</t>
  </si>
  <si>
    <t>Data was provided</t>
  </si>
  <si>
    <t>Prior communication to the admin by either a phone call or through email</t>
  </si>
  <si>
    <t>By calling/emailing the headteachers not only when we need data so as they can feel more involved not only when we vist them but the F4E support team should be making random calls this will make our work more easier as the relationship will improve</t>
  </si>
  <si>
    <t>Thankyou for the support you always offer</t>
  </si>
  <si>
    <t>I was able to collect and submit the school population data successfully using Kobo The tool was easy to use and the submission process was smooth</t>
  </si>
  <si>
    <t>ST PATRICK'S COMPREHENSIVE SCHOOL</t>
  </si>
  <si>
    <t>ST MATHEWS BUKHULUNYA PRIMARY</t>
  </si>
  <si>
    <t>I didn't experience any challenges on my end</t>
  </si>
  <si>
    <t>Improve on saving the data For future reference</t>
  </si>
  <si>
    <t>It was auto tallying the totals as you enter thus giving the correct totals</t>
  </si>
  <si>
    <t>Automatic dial in for individual classes and gender makes it user friendly and it's hard to entangle data</t>
  </si>
  <si>
    <t>Data collection process was easier because the administration was willing to give data neededAlso during of data I didn't encounter any challenge</t>
  </si>
  <si>
    <t>ST CHARLES LWANGA COMPREHENSIVE SCHOOL</t>
  </si>
  <si>
    <t>The feeding of information into the tool was easy due to the user friendly interface</t>
  </si>
  <si>
    <t>The fact that is well explatory and easy to fill</t>
  </si>
  <si>
    <t>I had challenges while submitting it was indicating "Canceled by user" "so I had to keep on retrying</t>
  </si>
  <si>
    <t>Kindly make submission process to be smooth and quick</t>
  </si>
  <si>
    <t>Work on the app to make work easier next timeThe app wasn't functioning</t>
  </si>
  <si>
    <t>DR KRAPF PRIMARY SCHOOL AND JUNIOR SCHOOL</t>
  </si>
  <si>
    <t>The data collection  went smoothly and  efficiently The online  link wasceasy to access and form vigation was straight forward  and data captured  without  any loss</t>
  </si>
  <si>
    <t>Administration  providing the  data as they feel insecure  and think that  our organisations  will provide the data to the government  so they give a higher  population</t>
  </si>
  <si>
    <t>Overall the exercise was successful The online link mode worked well for this context and can be recommended for future data collection activities</t>
  </si>
  <si>
    <t>The data was easy to collect from the headteacher</t>
  </si>
  <si>
    <t>To add two entries of a document needed to showcase the data</t>
  </si>
  <si>
    <t>The kobo is efficient</t>
  </si>
  <si>
    <t>Easy to fill because it requires less writing thus less time consumed  Has formulas  that populate the total population  therefore easy to identify  math errors</t>
  </si>
  <si>
    <t>Include a room for streams for schools with different streams</t>
  </si>
  <si>
    <t>Ease to use No delays when launching the link</t>
  </si>
  <si>
    <t>My data went missing and I could not redo if for it indicated that the data exists</t>
  </si>
  <si>
    <t>The pop ups suggestions eble faster filling of the form making work easier</t>
  </si>
  <si>
    <t>The process was smooth since it guides one step by step</t>
  </si>
  <si>
    <t>I find it ok the way it is</t>
  </si>
  <si>
    <t>Easy method of data collection</t>
  </si>
  <si>
    <t>Happy that the head of institution provides me with the information needed</t>
  </si>
  <si>
    <t>I encountered no challenges</t>
  </si>
  <si>
    <t>Send the link earlier to eble proper collection of data</t>
  </si>
  <si>
    <t>The collection of the data was good because the school had it already</t>
  </si>
  <si>
    <t>I was able to get the number of boys and girls directly from teachers as per their registers The total population i got matched with the number than is in the school administration The teachers and the school admin were very supportive</t>
  </si>
  <si>
    <t>In my school popolation keeps on changing any time of the term not neccessarilly  the first weeks alone They can be admitted at any time or students can opt out anytime</t>
  </si>
  <si>
    <t>ST JOHN PRIMARY SCHOOL</t>
  </si>
  <si>
    <t>The tool is easy to use whether one is using the link or app</t>
  </si>
  <si>
    <t>It was well organised and easy to interpret</t>
  </si>
  <si>
    <t>Baseline population data should already be engraved in the toolbox</t>
  </si>
  <si>
    <t>Explain further what baseline population means</t>
  </si>
  <si>
    <t>The time it took to get the data was too much Sometimes getting the data fast leads to getting iccurate information</t>
  </si>
  <si>
    <t>We can improve by talking to the schools and telling them on the importance of us getting this data This will reduce the time taken to get the data</t>
  </si>
  <si>
    <t>Everything was on point</t>
  </si>
  <si>
    <t>When collect data population ta be given enough time that will we eble to collect a correct information</t>
  </si>
  <si>
    <t>Better training on it  Especially with those having challenges</t>
  </si>
  <si>
    <t>The app is efficient</t>
  </si>
  <si>
    <t>I'm ok with it</t>
  </si>
  <si>
    <t>Thank youthe app made my work easier</t>
  </si>
  <si>
    <t>As per me everything is okay</t>
  </si>
  <si>
    <t>Communication between data collection team and the school administration</t>
  </si>
  <si>
    <t>ST TERESA GIRLS PRIMARY AND JUNIOR SECONDARY SCHOOL</t>
  </si>
  <si>
    <t>ST VINCENT HIRUMBI COMPREHENSIVE PRIMARY</t>
  </si>
  <si>
    <t>Admin made data collection easy</t>
  </si>
  <si>
    <t>Make data collection to be on the fourth week</t>
  </si>
  <si>
    <t>There were no challenges in the data collection process</t>
  </si>
  <si>
    <t>The collection process was okay</t>
  </si>
  <si>
    <t>Improve GPS loading speed and stability during location capture</t>
  </si>
  <si>
    <t>Provide data for us to work more efficiently</t>
  </si>
  <si>
    <t>Improved internet connectivity and more time for data verification to ensure accurate and timely submission</t>
  </si>
  <si>
    <t>The exercise was well coordited and provided valuable experience Continued improvements to the process and support systems will make future data collection exercises even more effective</t>
  </si>
  <si>
    <t>It already has sections so filling in the numbers is easier and the total number of students automatically fills itself</t>
  </si>
  <si>
    <t xml:space="preserve"> I can think of</t>
  </si>
  <si>
    <t xml:space="preserve"> I can thin of</t>
  </si>
  <si>
    <t>HGM KINOO PRIMARY AND JUNIOR SCHOOL</t>
  </si>
  <si>
    <t>I didn't have any hardship in accessing the school population dataThe collection process was fast and efficient</t>
  </si>
  <si>
    <t>I had to explain in details on why I regularly asks for the school data</t>
  </si>
  <si>
    <t>Add other options of acquiring data  either in general or  boys and girls separately</t>
  </si>
  <si>
    <t>I think it's okay the way it is</t>
  </si>
  <si>
    <t>It's easier to identify the number of both girls and boys present in a particular day in schoolThe admin cooperated in terms of data provision</t>
  </si>
  <si>
    <t>Head count interrupts class attentions in kids  Let it be done in the evenings</t>
  </si>
  <si>
    <t>To be done twice or thrice in a week not daily</t>
  </si>
  <si>
    <t>The process of data collection was good and the period given was enough and response from the learners</t>
  </si>
  <si>
    <t>The collection was a bit confusing but if the spreadsheet could have been a bit better</t>
  </si>
  <si>
    <t>The system is seamless able to save drafts</t>
  </si>
  <si>
    <t>The class breakdown makes work more easier and also the totals after population colletion</t>
  </si>
  <si>
    <t xml:space="preserve"> app is responding great</t>
  </si>
  <si>
    <t>Administration coparated to give the information</t>
  </si>
  <si>
    <t xml:space="preserve">Good job keep it up </t>
  </si>
  <si>
    <t>ST TERESA BOYS PRIMARY AND JUNIOR SECONDARY SCHOOL</t>
  </si>
  <si>
    <t>No issue found Tool works perfectly</t>
  </si>
  <si>
    <t>Improvements needed on when stating data is received from the senior teacher has already been solved</t>
  </si>
  <si>
    <t>Smooth and successful No errors</t>
  </si>
  <si>
    <t>The tool was easy to access and use Data submission was straightforward The online link made it convenient to collect information</t>
  </si>
  <si>
    <t>Simplify the data collection process Provide clearer instructions for users Improve system performance and responsiveness</t>
  </si>
  <si>
    <t>BUEMA RC PRIMARY AND JUNIOR SCHOOL</t>
  </si>
  <si>
    <t>No challenge when getting the informationI was helped by the senior teacher</t>
  </si>
  <si>
    <t>The data collection tool was well organized and very easy to use making data collection seamless Cooperation from the teachers also made the process much easier to complete</t>
  </si>
  <si>
    <t>One challenge i faced is that in some classes the registers were not upto date especially after admission of new students whose mes were not yet entered in the register hence lengthening the process Some teachers were also quite reluctant to provide the data as they didn't fully understand the purpose of it's collection</t>
  </si>
  <si>
    <t>All went wellI had no challenge in getting the data and filling it in</t>
  </si>
  <si>
    <t>Separate the ECDE data from the main data given that mostly in places like Kiambu Those are two separate institutions</t>
  </si>
  <si>
    <t>Combo collect should have a drafts section visible</t>
  </si>
  <si>
    <t>The information was easy to gather from class teachers and the deputy</t>
  </si>
  <si>
    <t>The platform was failing to collect the location information sometimes</t>
  </si>
  <si>
    <t>Maybe allow someone to update the data submitted incase someone submits wrong data at any point</t>
  </si>
  <si>
    <t>Through this process I was able to know the exact school population The Head of institution was so supportive because she provided the term 2 school enrollment make work easier</t>
  </si>
  <si>
    <t>I didn't encounter any challenge The process was smooth and easy</t>
  </si>
  <si>
    <t>ST MICHAEL'S PRIMARY SCHOOL</t>
  </si>
  <si>
    <t>The school was cooperative in the population collection process</t>
  </si>
  <si>
    <t>There were so many activities that increased kids absentism making it uneasy to collect the population</t>
  </si>
  <si>
    <t>ST PAUL'S PRIMARY SCHOOL</t>
  </si>
  <si>
    <t>When filling the data per grade the link helped me to see the total population at the end I was able to see where I entered wrong detail and corrected them</t>
  </si>
  <si>
    <t>The challenge was the register might have not shown recent transfers  or dropouts If the boys and girls were equal in terms of numbers</t>
  </si>
  <si>
    <t>ST MARY'S NYALENDA PRIMARY SCHOOL</t>
  </si>
  <si>
    <t>ST JOSEPH THE WORKER HIGH SCHOOL</t>
  </si>
  <si>
    <t>Location accuracy and showing of population total helps you know where you might have went wrong One can use different methods of filling in the required data</t>
  </si>
  <si>
    <t>The population collection process went well due to proper coordition and cooperation from the administration</t>
  </si>
  <si>
    <t>It has make our work simple you just click the kobo app and download the attendance you continue as directed  It is easy to use it guides you each step as you fill the data you can edit before you send  It's fast you take less than 5 minutes if already you have the data with you  Your are sure that your data is sent as it shows you if you data is sent</t>
  </si>
  <si>
    <t>For the time being it's okay</t>
  </si>
  <si>
    <t>It's fine as it is</t>
  </si>
  <si>
    <t>It was easy to access the tool</t>
  </si>
  <si>
    <t>Easy to vigate</t>
  </si>
  <si>
    <t>●Admin allowed me to collect the population once a week  Some class teachers were very helpful by providing the numbers without issues</t>
  </si>
  <si>
    <t>The once a week collection is a good choice so we dont have to interfere with ongoing classes</t>
  </si>
  <si>
    <t>ST MARY'S KIBABII GIRLS BOARDING PRIMARY SCHOOL</t>
  </si>
  <si>
    <t>Its was easy to vigate The interface is great</t>
  </si>
  <si>
    <t>The app is good No challenges faced during its use</t>
  </si>
  <si>
    <t>Make it more simple for everyone to use</t>
  </si>
  <si>
    <t xml:space="preserve">The form is fine </t>
  </si>
  <si>
    <t>It should have better we we get many kid in our school</t>
  </si>
  <si>
    <t>We are happy to have many kids being enrollment</t>
  </si>
  <si>
    <t>Sending timely notification to parents with insufficient funds Sponsoring more needy students</t>
  </si>
  <si>
    <t>We are doing our best to ensure all the standards are met and all students are treated as equally and needs catered for</t>
  </si>
  <si>
    <t>After this week sensitization our numbers have increased incredibly1491 is the highest fed (4th June) ever since the term begun</t>
  </si>
  <si>
    <t>Students coming for tapping earlier would have increased our numbers they come past time finding food already finished</t>
  </si>
  <si>
    <t>ST VERONICAH RANJE RC COMPREHENSIVE SCHOOL</t>
  </si>
  <si>
    <t>𝑻𝒐 𝒉𝒆𝒍𝒑 𝒓𝒆𝒅𝒖𝒄𝒆 𝒄𝒂𝒔𝒆𝒔 𝒐𝒇  𝒅𝒐𝒖𝒃𝒍𝒆 𝒔𝒆𝒏𝒅𝒊𝒏𝒈 𝑨𝒍𝒍𝒐𝒘 𝒖𝒔 𝒕𝒐 𝒉𝒂𝒗𝒆 𝒂𝒄𝒄𝒆𝒔𝒔 𝒐𝒗𝒆𝒓 𝒓𝒆𝒄𝒐𝒓𝒅 𝒕𝒉𝒂𝒕 𝒊𝒕 𝒉𝒂𝒔 𝒃𝒆𝒆𝒏 𝒓𝒆𝒄𝒆𝒊𝒗𝒆𝒅</t>
  </si>
  <si>
    <t>The process was not simplified It is quite complex Collecting data on a day to day on grade by grade disrupts normal school operations</t>
  </si>
  <si>
    <t>Attendance to be taken on once in two weeks Make the process simplified</t>
  </si>
  <si>
    <t>DNKIBURI SULMAC SECONDARY SCHOOL</t>
  </si>
  <si>
    <t>I am able to track the numbers of students so that I can avoid  under/over projection I can be able to track the the numbers of students feeding with us</t>
  </si>
  <si>
    <t>I was able to get the Data on time without any challengesthe app was also simless</t>
  </si>
  <si>
    <t>Auto sum during the excess was great</t>
  </si>
  <si>
    <t>The app is easy to use and understand Hence seemless vigation</t>
  </si>
  <si>
    <t>The information I was given was accurate and on time making it easy for me to complete the task</t>
  </si>
  <si>
    <t>Kindly check why the app has a malfunction and why it is failing to send also improve the link</t>
  </si>
  <si>
    <t>The process was successful and helpful</t>
  </si>
  <si>
    <t>The administration was cooperative and i was able to get the numbers per grade</t>
  </si>
  <si>
    <t>The coordites for location took time to load</t>
  </si>
  <si>
    <t>The population Data should be collected once in a term and do away with the daily attendance</t>
  </si>
  <si>
    <t>There was a record of the population before feeding started so it was easier to get it</t>
  </si>
  <si>
    <t>The was no need to collect the population before feeding started because it had already been asked before</t>
  </si>
  <si>
    <t>ST RAYMONDS PRIMARY</t>
  </si>
  <si>
    <t>The tool was easy to use and well elaborate</t>
  </si>
  <si>
    <t>Everything so far is okay</t>
  </si>
  <si>
    <t>Organized well and optimized properly</t>
  </si>
  <si>
    <t>Good relationship with students and teachers</t>
  </si>
  <si>
    <t>Not having a serving shade and a store either Idequate money for purchasing data</t>
  </si>
  <si>
    <t>No challenge faced during the process</t>
  </si>
  <si>
    <t>The program is already doing so well from my own point of view I haven't noticed or had any negative feedback concerning the program either from the Center mager or from the parents</t>
  </si>
  <si>
    <t>KITINDA RC PRIMARY AND JUNIOR SCHOOL</t>
  </si>
  <si>
    <t>The population was collected well class per class There was no errors during collection compared to last term</t>
  </si>
  <si>
    <t>Main challenge was school dropout and transfers During collection some kids were absent and we had assurances that they will report back</t>
  </si>
  <si>
    <t>To improve on this we need to have more time on collection of population</t>
  </si>
  <si>
    <t>I comment that the work is good and program has really loved by many</t>
  </si>
  <si>
    <t>The population collection went well</t>
  </si>
  <si>
    <t>Filling the form once in  a week</t>
  </si>
  <si>
    <t>We can choose a day to be filling the form</t>
  </si>
  <si>
    <t>97 best option</t>
  </si>
  <si>
    <t>03 sometimes delays</t>
  </si>
  <si>
    <t>Makes work easiersaves time</t>
  </si>
  <si>
    <t>Use alot of data</t>
  </si>
  <si>
    <t>Kindly add some data to us</t>
  </si>
  <si>
    <t>Since I had been taken through the training I found it workable</t>
  </si>
  <si>
    <t>For me to do it offline next time my Kobo app is requesting for authentication</t>
  </si>
  <si>
    <t>It went well</t>
  </si>
  <si>
    <t>Network</t>
  </si>
  <si>
    <t>Network connection</t>
  </si>
  <si>
    <t>It's was good though</t>
  </si>
  <si>
    <t>Better Support</t>
  </si>
  <si>
    <t>Collecting the data was easier because the deputy head of institution assisted me to get accurate data Also I didn't encounter any challenges while filling in</t>
  </si>
  <si>
    <t>Teachers support was there and it helped a lotTeamwork among the staffsOrganisation and scheduling where by data collection was done class by class with minimal disruptions to lesson</t>
  </si>
  <si>
    <t>It could have better when you PDAs stay with every population of each school that is before the programme started so when it comes to collect the kobo you just give out because when the admins are reshuffled it becomes harder to get the population</t>
  </si>
  <si>
    <t>Improvement on the students who have transferred to be no more counted from the school they were</t>
  </si>
  <si>
    <t>Great improvement so far</t>
  </si>
  <si>
    <t>The tool is good</t>
  </si>
  <si>
    <t>ST PAUL'S KANYAKWAR COMPREHENSIVE SCHOOL</t>
  </si>
  <si>
    <t>ST MARY'S KIBABII BOYS COMPREHENSIVE SCHOOL</t>
  </si>
  <si>
    <t>Easy to execute tasksIt's also fast</t>
  </si>
  <si>
    <t>The data collection was easier because of the automatic update system</t>
  </si>
  <si>
    <t>its good</t>
  </si>
  <si>
    <t>Make parents understand what is Tap2eat</t>
  </si>
  <si>
    <t>We work so closely with teacherseducate parents in meetings about Tap2eat</t>
  </si>
  <si>
    <t>Bring fruits more often Still students complain about beans they prefer cowpeas</t>
  </si>
  <si>
    <t>From  the  fpo to Aoo now  magement  goes  well</t>
  </si>
  <si>
    <t>We work closely with  teachers</t>
  </si>
  <si>
    <t>It was really smooth to use</t>
  </si>
  <si>
    <t>During data collection the admin was very supportive While in need anything concerning data admin and teachers are very supportive</t>
  </si>
  <si>
    <t xml:space="preserve">The system is well working </t>
  </si>
  <si>
    <t>DR MUTHIORA PRIMARY AND JUNIOR SECONDARY SCHOOL</t>
  </si>
  <si>
    <t>The admin was cooperative making the exercise seamless</t>
  </si>
  <si>
    <t>If the tool can allow adding more than one document since the school offers the data on different pages like the primary section and the JSS section</t>
  </si>
  <si>
    <t>ST ANN AND JOAKIM SECONDARY SCHOOL</t>
  </si>
  <si>
    <t>It make work easierquick to feed informationData protection ie third party can't access data</t>
  </si>
  <si>
    <t>The only challenge is that some students have been affected by the cowpeas but  most of them enjoyed</t>
  </si>
  <si>
    <t>Continue with same spirit</t>
  </si>
  <si>
    <t>It worked effectively without fail or delay</t>
  </si>
  <si>
    <t>It was simple and clearNo struggling while using it</t>
  </si>
  <si>
    <t>Collection Gps of the school took a lot of timeIt wasn't automaticThe GPS part should be improved</t>
  </si>
  <si>
    <t>Allow users to backdate data entries when necessary</t>
  </si>
  <si>
    <t>The school admin did not hesitate to provide data</t>
  </si>
  <si>
    <t>Accuracy in the collection was topnotchVery organized documentationcoordited with the HOI and the school secretary to obtain required information on time</t>
  </si>
  <si>
    <t>Some records like baseline information went missingoccasiol inconsistencies btwn class registers and administrative recordsDelayment in receiving the Data</t>
  </si>
  <si>
    <t>With this it will improve the completeness</t>
  </si>
  <si>
    <t>ST TERESA'S SIO RC COMPREHENSIVE SCHOOL</t>
  </si>
  <si>
    <t>ST MARY'S KAREN COMPREHENSIVE SCHOOL</t>
  </si>
  <si>
    <t>Continue  having good communication  with the staff and students</t>
  </si>
  <si>
    <t>The process was fast and smooth since i had full cooperatikn from the teachers</t>
  </si>
  <si>
    <t>The app was great working with</t>
  </si>
  <si>
    <t>The kobocollect tool worked effectively and efficiently</t>
  </si>
  <si>
    <t>Ive not had any challenges using itIts efficient and save time when loading data</t>
  </si>
  <si>
    <t>Improve on configuring someones location if it can be faster</t>
  </si>
  <si>
    <t>PCEA MATUGUTA SECONDARY SCHOOL</t>
  </si>
  <si>
    <t>Persolly  it as been so easy  and good  to mage</t>
  </si>
  <si>
    <t>ST MARYS PRIMARY</t>
  </si>
  <si>
    <t>It was easy to use and well functioning</t>
  </si>
  <si>
    <t>I don't think any improvements should be made</t>
  </si>
  <si>
    <t>The tool could show us how many students are registered in a particular school</t>
  </si>
  <si>
    <t>Kindly provide the baseline information from the tap2eat system because this data is not available at school level</t>
  </si>
  <si>
    <t>Kobo collect is easy to use</t>
  </si>
  <si>
    <t>The streams break down Because going round the entire school with different streams uses more time than just keying in the numbers per stream</t>
  </si>
  <si>
    <t>If maybe we would have been better if we had  a letter to give the administration that states why we need the school data so that the can give us information without a lot of doubt</t>
  </si>
  <si>
    <t>Maybe provide a document with where the person providing information or data can sign as a prove she/he is the one who provided the information</t>
  </si>
  <si>
    <t>The only challenge I had was accessing the Kobo up but I used the link instead because the app did do quite well for me but if it had then it could have been better</t>
  </si>
  <si>
    <t xml:space="preserve"> specific since the online link worked well for me it's all good</t>
  </si>
  <si>
    <t>In general everything worked out just fine during the data collection exercise</t>
  </si>
  <si>
    <t>The class teacher gave out the information needed willingly</t>
  </si>
  <si>
    <t>The app and website is good for now</t>
  </si>
  <si>
    <t>DR LIVINGSTONE PRIMARY AND JUNIOR SECONDARY SCHOOL</t>
  </si>
  <si>
    <t>I didn't have to calculate  the total Cobo did it by itself</t>
  </si>
  <si>
    <t xml:space="preserve">Everything was good </t>
  </si>
  <si>
    <t>The app usage was smooth and user friendly</t>
  </si>
  <si>
    <t>Everything was perfect on my end</t>
  </si>
  <si>
    <t>I think we are good to go</t>
  </si>
  <si>
    <t>It was easier when the population was given by Admin</t>
  </si>
  <si>
    <t>Teachers  support Sponsored student</t>
  </si>
  <si>
    <t>It's very easy to enter the data</t>
  </si>
  <si>
    <t>The auto calculator on the total population could be containing a programming error</t>
  </si>
  <si>
    <t>I feel the tool was adequate for now</t>
  </si>
  <si>
    <t>My first submission was not recorded on the back end</t>
  </si>
  <si>
    <t>Kobo collect app was easy to use The school admin was cooperative</t>
  </si>
  <si>
    <t>No challenge was faced</t>
  </si>
  <si>
    <t>On calculation It makes work easier</t>
  </si>
  <si>
    <t>I think it would be easier for the baseline information to be feed to each school so that you don't keep going to the admin for the same information every term</t>
  </si>
  <si>
    <t>Data entry  per every  class and how it adds up all totals also smooth  connections</t>
  </si>
  <si>
    <t>The app should be improved to reduce errors during form submission</t>
  </si>
  <si>
    <t>There was a slight increase in population The school administration was cooperative and provided the required enrollment data promptly The data collection exercise was completed smoothly and successfully</t>
  </si>
  <si>
    <t>Continue with the current approach and maintain timely communication and coordition with school before the exercise</t>
  </si>
  <si>
    <t>The enrollment data collection process was generally smooth and well coordited The cooperation of the school administration and teachers greatly contributed to the successful completion of the exercise</t>
  </si>
  <si>
    <t>Collection of the data was quite easy because the school provided the enrollment immediatelyIncrease in numbers with atleast 200 studentsThe toolbox is easy to understandSeparation of gender also helps one to understand their numbers quite well</t>
  </si>
  <si>
    <t>Variations with enrollment and information provided by teachers maybe due to late updates on teachers end</t>
  </si>
  <si>
    <t>Organization should meeting with the school admin on their data integrity</t>
  </si>
  <si>
    <t>Data collection was smoothDidnt experience  any challenge while using the link</t>
  </si>
  <si>
    <t>For ones we need you add for us more datafor efficiency work</t>
  </si>
  <si>
    <t>ST AGNES IKONYERO PRIMARY</t>
  </si>
  <si>
    <t>It was easier to capture the population because it was arranged in an orderly manner</t>
  </si>
  <si>
    <t>ST STEPHANIE MIGUTA PRIMARY AND JSS</t>
  </si>
  <si>
    <t>All went  I was able to get accurate data from the HOI</t>
  </si>
  <si>
    <t>Please make the baseline data accessible on our end so we can access it whenever needed without having to request it each time</t>
  </si>
  <si>
    <t>The tool could be refined to capture only the overall number per class instead of separating boys and girls</t>
  </si>
  <si>
    <t>The head of institution cooperationThe app is easy to use</t>
  </si>
  <si>
    <t>The app is easy to interact with and sometimes data can be collected and saved offline as draft before submission online</t>
  </si>
  <si>
    <t>How the app makes the work easier i like it</t>
  </si>
  <si>
    <t>The fact that by just feeding in the numbers the totals were calculated for you That was a good initiative</t>
  </si>
  <si>
    <t>It well understood No challenge was encountered</t>
  </si>
  <si>
    <t>It was easier to enter data I don't have to put totals at the end</t>
  </si>
  <si>
    <t>It helped get the actual learners</t>
  </si>
  <si>
    <t>The tool is user friendly and direct The School administration was supportive in allowing me get the needed data</t>
  </si>
  <si>
    <t>There were no challenges experienced other than the school not having baseline population records</t>
  </si>
  <si>
    <t>Everything was easy to fill in the data collection It was well simplified</t>
  </si>
  <si>
    <t>It's good so far</t>
  </si>
  <si>
    <t>The administration cooperated during the data collection by giving the data</t>
  </si>
  <si>
    <t>The data that is in the administration is different with that the class teachers have So you have to collect the data both from the administration and the class teachers</t>
  </si>
  <si>
    <t>Having administration meetings regularly</t>
  </si>
  <si>
    <t>Online link was fast and accessibleForm was clear and easy to vigateForm loaded fast and submitted data instantly</t>
  </si>
  <si>
    <t>GPS /latitude and longitude was slow</t>
  </si>
  <si>
    <t>Allow manual correction if GPS fails</t>
  </si>
  <si>
    <t>Le population data collection was smooth overall</t>
  </si>
  <si>
    <t>Gps detection was top notchFaced no problem vigating</t>
  </si>
  <si>
    <t>Maybe improve on login credentials They seem obvious for anyone to guess the credentials</t>
  </si>
  <si>
    <t>The Headteacher gave us maximum support</t>
  </si>
  <si>
    <t>It was okey</t>
  </si>
  <si>
    <t>No challenge encounterwe had a supportive document from the admin</t>
  </si>
  <si>
    <t>Parents topping up</t>
  </si>
  <si>
    <t>I did not have any challenge</t>
  </si>
  <si>
    <t>ST MONICA'S MUNGETI PRIMARY SCHOOL</t>
  </si>
  <si>
    <t>It's easier to fill and technology wise it quick</t>
  </si>
  <si>
    <t>Well defined and organized</t>
  </si>
  <si>
    <t>ST ANTHONY WALALA PRIMARY AND JSS</t>
  </si>
  <si>
    <t>It made data collection easy It is easy to use</t>
  </si>
  <si>
    <t>LUYEKHE RC PRIMARY AND JUNIOR SCHOOL</t>
  </si>
  <si>
    <t>Data was collected consistently and accurately</t>
  </si>
  <si>
    <t>There were no major challenges experienced during the use of the app</t>
  </si>
  <si>
    <t>No improvements needed as the app is working effectively</t>
  </si>
  <si>
    <t>The tool is efficient and reliable for data collection It supported smooth tracking and reporting throughout the week</t>
  </si>
  <si>
    <t>Easy to useIt's not complicated</t>
  </si>
  <si>
    <t>The drop down in the online link takes time to load</t>
  </si>
  <si>
    <t>The process of population collection using Kobo has been smooth so far since the app is so fast and doesn't lag</t>
  </si>
  <si>
    <t>Having to double take headcount some days because of kids being sent home for school fees and them coming back in small numbers throughout the day</t>
  </si>
  <si>
    <t>Reduce the number of days of collecting population data to only on Fridays so as to ensure accurate data collection</t>
  </si>
  <si>
    <t>Everything went wellI didn't experience any challenge</t>
  </si>
  <si>
    <t>The form was well curated and direct</t>
  </si>
  <si>
    <t>The form to be open directly through the app instead of the link</t>
  </si>
  <si>
    <t>It's simple to operate It requires less energy no straining</t>
  </si>
  <si>
    <t>Through this process we have been able understand how students attend to school</t>
  </si>
  <si>
    <t>It could have better if you as our seniors call our HOI's first and inform them that we shall be having these processes because sometimes they be are being harsh on us</t>
  </si>
  <si>
    <t>Otherwise this processes of collecting data are improving our relationships with our teachers the more we are interacting</t>
  </si>
  <si>
    <t>On enrollment side some times doesn't match compared with that one of Kobo collect So it forced us some times to do it manually using class teachers records</t>
  </si>
  <si>
    <t>It could be better if we can be doing it monthly</t>
  </si>
  <si>
    <t>We can improve it by doing monthly</t>
  </si>
  <si>
    <t>ST THERESA MUSAA COMPREHENSIVE PRIMARY</t>
  </si>
  <si>
    <t>If room for changes can be allowed since transfers do happen regularly a times after the data has already been submitted</t>
  </si>
  <si>
    <t>Will help us in efficiency of sending report especially in slack</t>
  </si>
  <si>
    <t>Try en improve our termils not to slow down in tapping</t>
  </si>
  <si>
    <t>Termil system should be invented also it's bundles</t>
  </si>
  <si>
    <t>Thank you for hearing our cry on tapping systems</t>
  </si>
  <si>
    <t>The tool is simple Data can be saved to draft You can edit your work before submission</t>
  </si>
  <si>
    <t>ST JOHN MAHIAKALO COMPREHENSIVE PRIMARY</t>
  </si>
  <si>
    <t>It's better when we send a form for the administration to fill and stamp it</t>
  </si>
  <si>
    <t>Sometimes the HOI sends us to classes and collect data from the registers which class teachers find abit awkward</t>
  </si>
  <si>
    <t>Give us a week to collect data so that we can get most accurate information</t>
  </si>
  <si>
    <t>We what to make follow up of the students who don't  eat Most of them  don't have tags because their parents have refuse to replace</t>
  </si>
  <si>
    <t>Tool to be fast</t>
  </si>
  <si>
    <t>Availability of data at all times</t>
  </si>
  <si>
    <t>ST ANNE'S PRIMARY SCHOOL</t>
  </si>
  <si>
    <t>The platform was very easy to use and vigate</t>
  </si>
  <si>
    <t>No challenges to report as the process was seamless from start to finish</t>
  </si>
  <si>
    <t>No recommendations for improvement since the tool worked perfectly for me</t>
  </si>
  <si>
    <t>The process of data collection is user friendly and straight to the point</t>
  </si>
  <si>
    <t>The Gps section was not showing the current location only the coordites and one can't tell if the location was correct</t>
  </si>
  <si>
    <t>It was easy to follow and fill in</t>
  </si>
  <si>
    <t>I did not encounter any challenge at all</t>
  </si>
  <si>
    <t>Feeding grade by grade</t>
  </si>
  <si>
    <t>ST MARY'S CHEBARUS PRIMARY AND JSS</t>
  </si>
  <si>
    <t>Every asked question was well detailed</t>
  </si>
  <si>
    <t>Before getting directions on how to use the app it was difficult to use it</t>
  </si>
  <si>
    <t>Have some online notes or videos that can help on how to use this and other apps needed for easy workings</t>
  </si>
  <si>
    <t>Thanks for assistance</t>
  </si>
  <si>
    <t>Data collection was smooth and efficient The Kobo app was easy to use Forms were completed accurately Offline mode worked well</t>
  </si>
  <si>
    <t>Internet connectivity was sometimes slow during synchronization Some respondents needed additiol clarification on a few questions</t>
  </si>
  <si>
    <t>Provide more training on Kobo features Improve internet access for faster data upload Simplify some questions and enhance technical support during data collection</t>
  </si>
  <si>
    <t>All the process was well arrangedgiving you guidelines on what yo choose</t>
  </si>
  <si>
    <t>Data collection was smooth and efficient The Kobo app was easy to use Forms were completed accurately Offline mode worked well and data synchronization was successful</t>
  </si>
  <si>
    <t>I appreciate the opportunity to use Kobo for data collection The platform was easy to vigate and helped improve the efficiency and accuracy of data gathering Continued improvements and user support will make the experience even better</t>
  </si>
  <si>
    <t>ST PETERS KAMUKUNJI PRIMARY SCHOOL</t>
  </si>
  <si>
    <t>ACK UTHIRU PRIMARY SCHOOL</t>
  </si>
  <si>
    <t>I was able to collect the total population for the school</t>
  </si>
  <si>
    <t>The challenge of trying to collect the population on a daily basis</t>
  </si>
  <si>
    <t>By making the population collection exercise be done once every month</t>
  </si>
  <si>
    <t>ST MARY'S ELDORET PRIMARY AND JUNIOR SECONDARY SCHOOL</t>
  </si>
  <si>
    <t>Teachers to be given the tags alsoIndicating teachers who have successfully tapped</t>
  </si>
  <si>
    <t>The administration helped greatly  to make sure that  the data collected was accurate</t>
  </si>
  <si>
    <t>It's not really a recommendation because after consistent follow up I was able to get the data I needed from the deputy headteacher</t>
  </si>
  <si>
    <t>At least we collect data by headcount</t>
  </si>
  <si>
    <t>We improve In sending it on time</t>
  </si>
  <si>
    <t>It's was very easy to fill</t>
  </si>
  <si>
    <t>The online link was easy to access and use The questions were clear and the process was smooth Submission was quick</t>
  </si>
  <si>
    <t>Give us enough time</t>
  </si>
  <si>
    <t>The administration was helpful in data collection and accuracy</t>
  </si>
  <si>
    <t>Data collection Saving progress to continue later and find it still intact</t>
  </si>
  <si>
    <t>ST GABRIEL KING'ONG'O ECDE</t>
  </si>
  <si>
    <t>Everything  went well we had good time at work and food always arrive on time</t>
  </si>
  <si>
    <t>PCEA MITAHATO SECONDARY SCHOOL</t>
  </si>
  <si>
    <t>Everything went  well</t>
  </si>
  <si>
    <t>We maged to know and discoverr the number of students in a school</t>
  </si>
  <si>
    <t>I have no challenge</t>
  </si>
  <si>
    <t>I trust the progress</t>
  </si>
  <si>
    <t>Onboarding of vulnerable students as sponsored into the food for education system</t>
  </si>
  <si>
    <t>Currently everything is operating as expected</t>
  </si>
  <si>
    <t>No suggestions</t>
  </si>
  <si>
    <t>The app could store  as many information as possible</t>
  </si>
  <si>
    <t>It is the easiest app and  more  reliable</t>
  </si>
  <si>
    <t>Good cooperation and fantastic r/latioship</t>
  </si>
  <si>
    <t>Keying in the different data collected individually</t>
  </si>
  <si>
    <t>Healthy and balanced dietalso good relationship</t>
  </si>
  <si>
    <t>Provision of working materials eg masks and detergent</t>
  </si>
  <si>
    <t>Providing working materials immediately during schoolopenings</t>
  </si>
  <si>
    <t>Collaboration with specific class teachers</t>
  </si>
  <si>
    <t>Engage Ecde magers to feel part of the project</t>
  </si>
  <si>
    <t>by practicing  regularlyfor creativity</t>
  </si>
  <si>
    <t>The mode of collection on grade by grade and the criteria of having boys and girls separately was incredible</t>
  </si>
  <si>
    <t>No challenges faced the process was well done</t>
  </si>
  <si>
    <t xml:space="preserve">For now </t>
  </si>
  <si>
    <t>The app is so easy to useSchool admin very supportive</t>
  </si>
  <si>
    <t>On my end the app is okay</t>
  </si>
  <si>
    <t>The school administration was cooperative in sharing the attendance I also liked that when filling the population it was grouped by class which made it easier to fill the population Also the system automatically doing the additions that really went a long way</t>
  </si>
  <si>
    <t>On my end I didn't experience any challenge</t>
  </si>
  <si>
    <t>The tool app didn't work well for me</t>
  </si>
  <si>
    <t>It usually goes smoothly because of its reliable offline capabilities It elimites manual data  entry and provide automatic summary</t>
  </si>
  <si>
    <t>Grade by grade breakdown and we could fill in the form according to gender and per grade</t>
  </si>
  <si>
    <t>The administration in my school is always hesitant with the population updates</t>
  </si>
  <si>
    <t>I can say the great thing about using the Kobotoolbox is that it saves timeKnowing the location of the schoolIt also gives accuracy</t>
  </si>
  <si>
    <t>I can  suggest that even our school admin also to be aware of this process of data collection of their schools</t>
  </si>
  <si>
    <t>I can say the process is great</t>
  </si>
  <si>
    <t>ST BARBARA ROSTERMAN PRIMARY</t>
  </si>
  <si>
    <t>The data collection process was smooth and well organized Most learners were captured successfully The tool was easy to use and data submission was completed on time Support from school staff facilitated the exercise</t>
  </si>
  <si>
    <t>ST AUGUSTINE GATONO PRIMARY</t>
  </si>
  <si>
    <t>KIRWARA DEB PRIMARY SCHOOL AND JSS</t>
  </si>
  <si>
    <t>The fact that the tool was able to calculate for me the totals and all I had to do is get the correct data Most teachers also cooperated very well in helping me get the correct data</t>
  </si>
  <si>
    <t>The population collection was smooth</t>
  </si>
  <si>
    <t>I had a challenge with the admin when collecting data They had no save copy  Took me about a week to filly have the data</t>
  </si>
  <si>
    <t>The administration gave me accurate data regarding the populationThe admin also cooperated smoothly to give me the data especially the HOi</t>
  </si>
  <si>
    <t>ST MARK NYABERA COMPREHENSIVE SCHOOL</t>
  </si>
  <si>
    <t>It's well structured making it easy to let in the data</t>
  </si>
  <si>
    <t>Maybe save all schools baseline data from your end so that we avoid getting different figures from the admin especially after HOI transfers</t>
  </si>
  <si>
    <t>It was easy to me</t>
  </si>
  <si>
    <t>Data collection was completed successfully KoboCollect was easy to use Admin and teachers support were effective</t>
  </si>
  <si>
    <t>There was a slight delay in accessing baseline population data</t>
  </si>
  <si>
    <t>Restrict duplicate submissions after successful form completion and provide a confirmation message or email Allow corrections through a controlled edit request process to improve data accuracy and prevent duplicate entries</t>
  </si>
  <si>
    <t>This is whereby the information needed is given without complications</t>
  </si>
  <si>
    <t xml:space="preserve">Maybe we can save such informations to avoid  going back to the administration  now and then for the same </t>
  </si>
  <si>
    <t>I experienced delays in data synchronization which resulted in multiple repeated submissions</t>
  </si>
  <si>
    <t>Improve data synchronization</t>
  </si>
  <si>
    <t>I received the school population politely from the deputy The exercise was simple and not time consuming</t>
  </si>
  <si>
    <t>Convincing the need for the information to the school</t>
  </si>
  <si>
    <t>You can help by communicating directly to the head teachers about the data and why we need them through emails</t>
  </si>
  <si>
    <t>WESTERN  KISUMU</t>
  </si>
  <si>
    <t>KAJIADOLANGATA</t>
  </si>
  <si>
    <t>RUIRUJUJA</t>
  </si>
  <si>
    <t>RUIRUGITHUNGURI</t>
  </si>
  <si>
    <t>WESTERN  KAKAMEGA</t>
  </si>
  <si>
    <t>NYALI  MOMBASA</t>
  </si>
  <si>
    <t>Everything is topnotch thank you team</t>
  </si>
  <si>
    <t>KIBRAWESTLANDS</t>
  </si>
  <si>
    <t>GOME  MOMBASA</t>
  </si>
  <si>
    <t>WESTERN  BUNGOMA</t>
  </si>
  <si>
    <t>DAGORETTIWESTLANDS</t>
  </si>
  <si>
    <t>EASTLEIGHSTAREHE</t>
  </si>
  <si>
    <t>Sponsorshipintroduce Sponsorship to highschool students Bring fruits to student to make their feeding great</t>
  </si>
  <si>
    <t>Both the app and online link are userfriendly which made the data collection process simple and effecient</t>
  </si>
  <si>
    <t>BIDIIZAWADI REGION</t>
  </si>
  <si>
    <t>NJATHAINI PRIMARY AND JUNIOR SCHOOL</t>
  </si>
  <si>
    <t>The KoboToolbox tool was easy to use and vigate Data submission was fast and reliable The form structure reduced errors during data entryRealtime access to collected data improved tracking and followup</t>
  </si>
  <si>
    <t>Provide a brief refresher training before future data collection exercises Share a detailed guide on common issues and troubleshooting Allow adequate time for followups with uvailable respondents</t>
  </si>
  <si>
    <t>Introduce an additiol verification step before submission Crosscheck population figures with school records and relevant stakeholders to ensure accuracy Provide timely feedback on submitted data to eble quick corrections where necessary</t>
  </si>
  <si>
    <t>The filling process is userfriendly and organized</t>
  </si>
  <si>
    <t>:More consistent parent followup and earlier intervention for ictive learners could have improved the results"</t>
  </si>
  <si>
    <t>The KoboToolboxplatform was userfriendly and easy to understand Data collection was well organized and the submission process was smooth The tool helped maintain data accuracy and made it easier to monitor progress</t>
  </si>
  <si>
    <t xml:space="preserve">Provide more time for data collection and followup activities Improve guidance on handling common challenges encountered in the field Strengthen support for offline data collection </t>
  </si>
  <si>
    <t>My administration was cooperative during the population collection during</t>
  </si>
  <si>
    <t>ATHI RIVERNJIRU</t>
  </si>
  <si>
    <t>UASINGISHU</t>
  </si>
  <si>
    <t>WESTERN  UASINGISHU</t>
  </si>
  <si>
    <t>The admin cooperating with the programs needs</t>
  </si>
  <si>
    <t>DECENTRALIZED CENTRAL  MURANG'A</t>
  </si>
  <si>
    <t>DECENTRALIZED CENTRAL  NYERI</t>
  </si>
  <si>
    <t>HUHOINI COMPREHENSIVE SCHOOL</t>
  </si>
  <si>
    <t>The tool was easy to use and the autofilling of boys' and girls' data was quite impressive</t>
  </si>
  <si>
    <t>KARIGUINI SECONDARY SCHOOL</t>
  </si>
  <si>
    <t>You be reminding parents to topup</t>
  </si>
  <si>
    <t>KIAORA</t>
  </si>
  <si>
    <t>Access was limitedonly with data bundles</t>
  </si>
  <si>
    <t>GPS/latitude  longitude capture was slow</t>
  </si>
  <si>
    <t>Challenge encounted is that on my end it shows submitted but on the other end it's not seen so I have to redo</t>
  </si>
  <si>
    <t>It went well because of the cooperation of the class teachers</t>
  </si>
  <si>
    <t>We need an app where we can know the students have not eaten that day so that we can make followup</t>
  </si>
  <si>
    <t>GK PRISON PRIMARY AND JSS UASIN GISHU</t>
  </si>
  <si>
    <t>Delays in getting information from some Headteachers Poor recordkeeping in some schools HODs and school administrators should be informed in advance to prepare the required data</t>
  </si>
  <si>
    <t>Improve platform speed and stability Provide clearer instructions at the beginning Share a short guide for firsttime users</t>
  </si>
  <si>
    <t>CENTRAL PRIMARY AND JSS UASIN GISHU</t>
  </si>
  <si>
    <t>RIUNDERI PRIMARY AND JUNIOR SCHOOL</t>
  </si>
  <si>
    <t>You had an option to break down the data received either by a total number or by genderThe tool is able to compile the total number making it easy to avoid errors</t>
  </si>
  <si>
    <t>The interface was userfriendly making the data collection process smooth and efficient</t>
  </si>
  <si>
    <t>ST JOHN PAUL KUDHO PRIMARY ECDE AND JUNIOR SECONDARY</t>
  </si>
  <si>
    <t>Easy acquiring  of the registers</t>
  </si>
  <si>
    <t>Collecting the registers some teachers took long to submit</t>
  </si>
  <si>
    <t>Data was captured fast but it would save time and accuracy if most of the parts were put in the same page ie categorised into ECD primary and junior school</t>
  </si>
  <si>
    <t>Compile the pages to make them a few like ECD pages primary pageand jss page</t>
  </si>
  <si>
    <t>Everything went wellthe application is user friendly and the fact that you can save the data and edit before submitting that helps us so much</t>
  </si>
  <si>
    <t>At some point i could my school location was not picking the latitude the location pick up was the major hinderance</t>
  </si>
  <si>
    <t>The process was easy by the help of the kopo data collection tool it was easy because after getting the data from the admin I was only feeding it to the tool</t>
  </si>
  <si>
    <t>Maybe next time you give us more time because sometimes after collecting data you find that there are other students who wants to be admitted in school Maybe next time we should submit data after midterm</t>
  </si>
  <si>
    <t>This round it was sufficient no more searching errors unlike the one we used in first term</t>
  </si>
  <si>
    <t>Transfers of kids coming in and some some getting to other schools</t>
  </si>
  <si>
    <t>It should capture longitude anywhereas long as you are in school compound not necessarily at the gate</t>
  </si>
  <si>
    <t xml:space="preserve">Collecting the data daily is not working since we are being asked too much questions and it's becoming hectic  I propose we collect data may be once per month </t>
  </si>
  <si>
    <t>So far so goodits easy to use</t>
  </si>
  <si>
    <t>The link is easier to use compared to the app It provides a more direct process as users can submit the form immediately after completing the required fields without having to save it first before sending</t>
  </si>
  <si>
    <t>It could be even better if u extended the data collection exercise to after midterm so as to capture all the students some get admitted late</t>
  </si>
  <si>
    <t>I worked with the kobo app at first after filling all the detailsand tried to submit I got an error saying form is not active Getting school GPS wasn't easier despite the fact that I was standing right at the school gate I'm not even sure if the coordites sent were accurate After resorting to the online form the major challenge was that I couldn't see what I was selecting as region subregion and school it's best if the wording appear clearly not just some random circles</t>
  </si>
  <si>
    <t>When you update the population collection tool on the app please do us the courtesy of informing us so we can update as required On the attachment allow inclusion of more than 1 file type as well as multiple files I didn't attach the evidence given by the ECDE Mager because there was no way to add it In the list of source of information you left out the ECDE mager yet they are crucial in information provision again allow us to choose more than 1 source of information I persolly feel the GPS locator is so restricting allow us to click and pick from the map if the auto detection feature fails</t>
  </si>
  <si>
    <t>Kindly provide a letter or document indicating that the request is from Food for Education This makes it easier when presenting it to the school administration as they will clearly understand that it is an official request from F4E</t>
  </si>
  <si>
    <t>Gps data collection; my phone has never got it  so I do guess I'd suggest this section should be optiol</t>
  </si>
  <si>
    <t>The organization is working well from my end with great support from the PDA  KITCHEN MAGER and the staff</t>
  </si>
  <si>
    <t>One time password and url After logging in detailsthe app should be leading you direct to the data and not key in url all the time</t>
  </si>
  <si>
    <t>KASSAGAM PRIMARY ECDE AND JUNIOR SCHOOL</t>
  </si>
  <si>
    <t>The Kobo connect app is very effective collection and sending of the data was very very easyI didn't encounter any challenges</t>
  </si>
  <si>
    <t>I feel like since we already filled the base year populationthere is no urgency of redoing it over and againIt is hard accessing this record from the school administration</t>
  </si>
  <si>
    <t>I feel like the app is ok continue with the nice work honestlyI am satisfied with it</t>
  </si>
  <si>
    <t>I am more than pleased with the appit is effective and simple to share the data</t>
  </si>
  <si>
    <t>The tool was user friendlyeasy to vigate and ebled efficient data collection</t>
  </si>
  <si>
    <t>Honestlythe tool is vvery okay</t>
  </si>
  <si>
    <t>Persolly I did not experience any challenge with the the apponce I entered my userme and password everything went smoothly</t>
  </si>
  <si>
    <t>Satisfactory no improvement needed</t>
  </si>
  <si>
    <t>If a second attempt is made at submission of the data the link should inform you that data is submitted and ask if one would like to make changes to the submitted data</t>
  </si>
  <si>
    <t>When submitting data the link should you to a new page showing the data has been successfully submitted The page just refreshed itself on clicking submit and I found myself having to fill the form again</t>
  </si>
  <si>
    <t>When discrepancies exitsbear with us and enough time to do the whole process again</t>
  </si>
  <si>
    <t>It was a good exerciseI am able to know the number of learners not feeding and get the reason behind their action</t>
  </si>
  <si>
    <t>Hoi is very supportive whenever I go to collect population dataThe data is precise correct and is given on time whenever she's there</t>
  </si>
  <si>
    <t>My biggest challenge is when the HOI is not in  and the data has to be collected that daythe teacher some times are so relantant and I have to keep checking if they have given their numbers</t>
  </si>
  <si>
    <t>Some times I have issues with Kobo the last part where we have to get gps it keeps loading for long what can do about it</t>
  </si>
  <si>
    <t>In future while onboarding new schools baseline population should be captured by us/organisation This will save us from depending on administration for the information in which by the time it may not exist due to various factors</t>
  </si>
  <si>
    <t>The school admin and the teachers feel interrupted during their lessons</t>
  </si>
  <si>
    <t>Let the process not demand  a lot of documents eg registers the admin is not willing to give us access to them</t>
  </si>
  <si>
    <t>So far so goodthe program is running well</t>
  </si>
  <si>
    <t>I had saved my data as draft but when I tried to find it I couldn't access it I ended up re filling the data</t>
  </si>
  <si>
    <t>Since kobo is user friendly I am okay with it</t>
  </si>
  <si>
    <t>Less typingIe it only involves inputting figures rather than typingmaking it efficient</t>
  </si>
  <si>
    <t>It was sluggish during uploading There was a queue hence one is not sure whether their work is uploaded or not</t>
  </si>
  <si>
    <t>For the online link it was taking too long to respond</t>
  </si>
  <si>
    <t>For source of information I would prefer being able to choose multiple sources</t>
  </si>
  <si>
    <t>Timeline when i say about timeline it means you gave a short period to collect the data like you find that senior teacher has classes to attend to then taking those registers from every teacher and it needs time so that we don't interfere with her lessons</t>
  </si>
  <si>
    <t>During submission  it indicated that my file had an error Later on I noticed that I did not download a new form thereafter I was able to submit my findings</t>
  </si>
  <si>
    <t>KOSAWO PRIMARY ECDE EYE AND JUNIOR SECONDARY SCHOOL</t>
  </si>
  <si>
    <t>By continuing educating them through there phone  importance of  this feeding</t>
  </si>
  <si>
    <t>It was clear and understandable also the ability to retrieve unfinished form was superb</t>
  </si>
  <si>
    <t>The data on the classes to be on one page that is for junior separate primary and ECDE instead of every class to prompt you to next</t>
  </si>
  <si>
    <t>The information on The school kitchen region can be automated on your end for instance if I select my email it should pick the region school and any information about the location of the school</t>
  </si>
  <si>
    <t>If the regionssubregions and schoolscan be listed same as the county part</t>
  </si>
  <si>
    <t>That the calculation are automated once you key in the data they automatically give you a total which makes work easier It is also very direct and easy to use</t>
  </si>
  <si>
    <t>Once the issue of not accessing draft saved is worked on I think that it will be good since one can access what was previously submitted and edit the mistake rather than fill in a new form</t>
  </si>
  <si>
    <t>Occasiol internet connectivity challenges affected timely submissions Some sections required additiol clarification before data collection A few respondents were uvailable during the first visit leading to followups</t>
  </si>
  <si>
    <t>No complainkeep up the good job</t>
  </si>
  <si>
    <t>It is easier because It gives calculations automatically there is also no loosing if data which is ok</t>
  </si>
  <si>
    <t>The app is more reliable and easy to fill in daya</t>
  </si>
  <si>
    <t>After submitting the population data I was informed by the PDA the following day that I had entered an incorrect population figure This required a review and correction of the submitted data</t>
  </si>
  <si>
    <t>The admin will always provide the data I don't think they can say no</t>
  </si>
  <si>
    <t>Baseline data it repetitive we keep filling them all the time you should save them</t>
  </si>
  <si>
    <t>Okayon the ecde and playgroup partmost schools have ecde but no play group but on kobold they are both under the same category so one has to input zeros on ecdeyou guyz should separate them</t>
  </si>
  <si>
    <t>For data collection(school population)it was easy to collect since the HOI was readily available and the term two enrollment was already updated</t>
  </si>
  <si>
    <t>The displaying of specific schools region and sub region by mes in the options sectionby their mes</t>
  </si>
  <si>
    <t>We may improve on delayed response when operating the website and clearly displaying the specific regionsubregion and school of the respective subregions</t>
  </si>
  <si>
    <t>The data acquired has no ECDE informationit was separatedit would be better if we had two entries to capture the both records</t>
  </si>
  <si>
    <t>It's easy to usesaves the informationdoes automatic calculation</t>
  </si>
  <si>
    <t>The process was smoothno hitches</t>
  </si>
  <si>
    <t xml:space="preserve"> for now it's the best</t>
  </si>
  <si>
    <t>Data collection team getting intoch with our school administration for fil figures to be readily available</t>
  </si>
  <si>
    <t>Thanks to secretary she gave me information on timel was able to have information on timeto</t>
  </si>
  <si>
    <t>I challenge l face l was told school population is privatethey are not supposed to give outl explained and he agree to give me information</t>
  </si>
  <si>
    <t>The tool is time efficientit's save on time and fast in terms  of keying in the dataEverthing went well since the teachers were cooperative</t>
  </si>
  <si>
    <t>Adequate follow up and communication between data collection team and the school administration should be maintained this would make it easier for them to give information to the school lead on time and easily</t>
  </si>
  <si>
    <t>Attendance challenges: "Some learners were absent from school limiting engagement opportunities"</t>
  </si>
  <si>
    <t>"Conduct regular parent followups encourage timely topups and monitor ictive learners closely"</t>
  </si>
  <si>
    <t>Some kids don't show up in school until the fourth week I feel that there should be an extension</t>
  </si>
  <si>
    <t>Easy data collection process Finding coordites was easier without the actual map which gave wrong coordites</t>
  </si>
  <si>
    <t>I particularly like that the app calculates the total number of boys and girls separately This makes error detection much easier as any mismatch between the app's totals and the paper records can be spotted quickly</t>
  </si>
  <si>
    <t>The app experiences delays when capturing GPS coordites at the school gate requiring multiple attempts before the location is successfully recorded</t>
  </si>
  <si>
    <t>In future I would suggest our data team should prepare a school population data sheet  it will make it easier for the administrator to understand  the process It will also help in the record keeping for us working in the school</t>
  </si>
  <si>
    <t>It's not time consumingcompared to going round taking photos of class registers</t>
  </si>
  <si>
    <t>The tool is easy to use efficient and saves on time</t>
  </si>
  <si>
    <t>Everything was well especially uploading the document very easy no struggle</t>
  </si>
  <si>
    <t>It is very easy and first it take minutes and you are doneunless the administration delays to provide the population</t>
  </si>
  <si>
    <t>No challenges experienced with the app the main challenge is collecting the data for every individual class compiling it for submission it is very time consuming and some classes do not always have the class teacher present</t>
  </si>
  <si>
    <t>Kids ate hot safe enough food on time</t>
  </si>
  <si>
    <t>Right portion hot food clean plateshappy parents and low wasted food</t>
  </si>
  <si>
    <t>It automatically saves collected data that even if I left the site I could still continue from where I left it without losing previously recorded information</t>
  </si>
  <si>
    <t>Through the link the submitted data isn’t available for later viewing At least make it visible in the future</t>
  </si>
  <si>
    <t xml:space="preserve"> all was good</t>
  </si>
  <si>
    <t>On my end I like you guys are doing a very great jobso as for me everything is good</t>
  </si>
  <si>
    <t>I recommend that in future population collection exercises communication should be made to the headteachers through sms before the exercise begins to help them sensitize other teachers on the exercise</t>
  </si>
  <si>
    <t>Overallthe exercise was successful and provided data needed for planning and decision making</t>
  </si>
  <si>
    <t>It was Abit first simplified and the fact I could that I could see the numbers of both boys and girls separately I think it was very relevant</t>
  </si>
  <si>
    <t>Easy to use Straight forward Time saving Reduced error in during calculation</t>
  </si>
  <si>
    <t>Class teachers helped verify attendances quickly which reduced errors school admin give us work space</t>
  </si>
  <si>
    <t>Network issues delayed form submission better to train on offline submission</t>
  </si>
  <si>
    <t>The online link worked well during data collection I was able to access the form easily collect the required school population data and submit the information successfully The process was smooth and all assigned tasks were completed accurately and on time</t>
  </si>
  <si>
    <t xml:space="preserve"> major needed improvement The exercise was conducted successfully and all assigned tasks were completed as planned</t>
  </si>
  <si>
    <t>We can improve by informing school staff earlier about the exercise ensuring all preparations are made in advance and allocating enough time to complete the assignment efficiently</t>
  </si>
  <si>
    <t>The exercise was completed successfully and the data collection process was smooth</t>
  </si>
  <si>
    <t>The data showed the ratio of boys and girls is not equal boys are more than girlsI also discovered  that  form's  are  the most students in the school The students and data was already verifiedThe data was a gender breakdown showing the number of boys and girls present in the school</t>
  </si>
  <si>
    <t>You can create a  data process where it covers collection  validation and archiving</t>
  </si>
  <si>
    <t>Data was given by the deputy though not easy getting the same from HOI</t>
  </si>
  <si>
    <t>It was easy to usetime saving and it had accurate capture</t>
  </si>
  <si>
    <t>There are no issues at the moment everything proceeded smoothly</t>
  </si>
  <si>
    <t>There no issues at the moment everything proceeded smoothly</t>
  </si>
  <si>
    <t>While using the tool I did not face any challengeTo me it worked perfectly fine</t>
  </si>
  <si>
    <t>I would recommendwe be conducting the exercise after every month because the number of kids fluctuate throughout the term</t>
  </si>
  <si>
    <t>By use of the link submitting the data was faster</t>
  </si>
  <si>
    <t>Make use of the app effective to all</t>
  </si>
  <si>
    <t>While using the appit was only giving an option of one school</t>
  </si>
  <si>
    <t>ACK DIOCESE OF MASENO SOUTH MANYATTA PARISH PRIMARY ECDE EYE AND JUNIOR SECONDARY SCHOOL</t>
  </si>
  <si>
    <t>OBWOLO PRIMARY ECDE AND JUNIOR SECONDARY</t>
  </si>
  <si>
    <t>I had a challenge using the app it kept saying failed to send and form not active so I was forced to use the link which was a bit slow</t>
  </si>
  <si>
    <t xml:space="preserve"> much it's all good</t>
  </si>
  <si>
    <t>It was great since it add itself with zero error</t>
  </si>
  <si>
    <t>Able to track my students turn out  able to collect data on time</t>
  </si>
  <si>
    <t>I feel the process was ok though my termil only allowed me to do it online</t>
  </si>
  <si>
    <t>Data collection was collected successfully ii didn't experience any challenges</t>
  </si>
  <si>
    <t>It was easy simple and saves on time</t>
  </si>
  <si>
    <t>Cooperation good rapport communication</t>
  </si>
  <si>
    <t>Collecting some information especially on daily basis eg school attendance is difficult because is like we are taking a role of their superior's</t>
  </si>
  <si>
    <t>The process is awesome maintain it</t>
  </si>
  <si>
    <t>WANGU PRIMARY AND JUNIOR SCHOOL ECDE CENTRE AND SPECIAL UNIT</t>
  </si>
  <si>
    <t xml:space="preserve">Prefer we continue with working with kobo app not link </t>
  </si>
  <si>
    <t>The great thing is that we appreciate your support wins we have learnt more mostly on the new AppSheet hoping for better days to win together</t>
  </si>
  <si>
    <t>Once access the was possible the process was a bit smooth</t>
  </si>
  <si>
    <t>The app automatically populates the total number of boys and girls after data entry reducing manual calculations and errors The draftsaving feature allows us to save our progress and revisit forms later for review and correction before fil submission</t>
  </si>
  <si>
    <t>The app does not allow backdating of data entries making it difficult to capture information for previous dates when necessary</t>
  </si>
  <si>
    <t>Conducting regular updates of students record through out the termProvide maybe training and guidance to staff involved in data collection and magementEncourage prompt reporting of students admissions transfer and withdrawals</t>
  </si>
  <si>
    <t>It was good because  the administration help me with the school population and also the stampThe communication with them helps me alot</t>
  </si>
  <si>
    <t>Ebling it to take accurate figure of the fil figure it was slow to reflect after keying in the figures of each Grade including boys and girls</t>
  </si>
  <si>
    <t>The only challenge i experienced the update of the app was not automated you had to uninstall it fast</t>
  </si>
  <si>
    <t>The main challenge was collecting the baseline population data especially where records had not been well maintained</t>
  </si>
  <si>
    <t>All information should be maintained in the F4E database so that it can be easily accessed whenever it is uvailable from the school administration In some cases the head teachers were new to the schools and were not even aware of when the program started</t>
  </si>
  <si>
    <t>The admin were willing to give the data to us so that it may help us dor better planning</t>
  </si>
  <si>
    <t>Getting the school enrollment data from the administration officialswas quite okay</t>
  </si>
  <si>
    <t>The Daily Data collection went well I was able to get the exact daily attendance per class</t>
  </si>
  <si>
    <t>The daily Attendance kindly make it be total Girls and BoysGoing per class is giving us problems with the teachersThey are tired of seeing us everyday</t>
  </si>
  <si>
    <t>No challenges were faced so far so good</t>
  </si>
  <si>
    <t>I got all the information required on timethe app worked well</t>
  </si>
  <si>
    <t>The gps trackingit kept loading and loading</t>
  </si>
  <si>
    <t>The link worked really well for me because after entering the data from paper I was able to confirm that what I had matched the totals on the link which made me more confident with my data</t>
  </si>
  <si>
    <t>I tried using the app and submitting the form but it kept showing an error saying the form is not active</t>
  </si>
  <si>
    <t>Overall the experience was good The link was smooth and helpful in confirming the accuracy of the data entered</t>
  </si>
  <si>
    <t>The exercise was generally smooth and no major challenges were experienced</t>
  </si>
  <si>
    <t>The data collection process and the tool used was okay admission was supportive</t>
  </si>
  <si>
    <t>We the people(SC/SL) on ground should be provided with enough information about the need of population data collection so that when we are asked on the same by school admission we should have same reason across</t>
  </si>
  <si>
    <t>Student aways come one time during tapping timethe number of insufficient funds has decreased due to parents topping up</t>
  </si>
  <si>
    <t>The app is very fast accurate data</t>
  </si>
  <si>
    <t>I think you guys are perfect in this the app is very 👏👏</t>
  </si>
  <si>
    <t>All is wellno challenges</t>
  </si>
  <si>
    <t>NYAGA ECDE PRIMARY AND JUNIOR SCHOOL</t>
  </si>
  <si>
    <t>As for now I have  I appreciate your efforts towards attaining the data collection</t>
  </si>
  <si>
    <t>Honestly so far the process is working well because it provides flexibility we can either use the offline method through the kobocollect  app or the online method via the provided link</t>
  </si>
  <si>
    <t>I think this is the best approach as you did it training first then collection</t>
  </si>
  <si>
    <t>Bt Hol are making data collection to be more difficult there is a challenge when collecting the datathey say we need more data magement</t>
  </si>
  <si>
    <t>Ongezeni HOI kitu ba it's hard for us back hereju Ku vile they phlase it haibabi walai</t>
  </si>
  <si>
    <t>The KoBoCollect tool was easy to use with a clear interface that made data collection and submission efficient Data collection was accurate and timely reducing errors and improving the quality of information captured The overall process was well coordited with clear guidelines and smooth support that ebled successful completion of all required activities</t>
  </si>
  <si>
    <t>The process could be improved through enhanced user training faster synchronization in areas with poor internet connectivity and additiol technical support to address challenges promptly and improve overall efficiency</t>
  </si>
  <si>
    <t>Improve by providing regular user training strengthening internet connectivity offering timely technical support and simplifying data collection forms to enhance efficiency and accuracy</t>
  </si>
  <si>
    <t>It's Good ideame persolly I like it</t>
  </si>
  <si>
    <t>The admin offered the necessary assistance I requested with ease which helped me in collecting the data</t>
  </si>
  <si>
    <t>When giving out important information and you need feedbackit take time to gather  all the information to gave back feedbacktime should be consider</t>
  </si>
  <si>
    <t>Overall the data collection process was successful Thank you for providing an effective and easytouse tool I look forward to using Kobo in future activities</t>
  </si>
  <si>
    <t>Termil network was superbin terms of tappingregistration and appsheet  went good</t>
  </si>
  <si>
    <t>Menu to be looked upto ie beans to be consumed  once a week</t>
  </si>
  <si>
    <t>The program has really changed livelihood of many in societykids parents and teachers like the program</t>
  </si>
  <si>
    <t>I encountered difficulties when submitting my population The first two submissions were unsuccessful and the submission was only accepted on the third attempt after which it was visible to the recipient</t>
  </si>
  <si>
    <t>I am not sure why I had to submit for the third time so as to be visible to the recipient Kindly find out why I encounter that Perhaps could be location of the school Apart from that everything was easy to fill and understand</t>
  </si>
  <si>
    <t>Increase training opportunities improve synchronization speed and simplify the data collection process to enhance user experience and data quality</t>
  </si>
  <si>
    <t>No all things in kobo is perfect</t>
  </si>
  <si>
    <t>"I worked well with customers maged orders efficiently and contributed positively to the team's goals while maintaining a high level of customer</t>
  </si>
  <si>
    <t>"At Tap2Eat we can improve by ensuring beans are distributed according to the program schedule maintaining consistency in portion sizes and serving meals efficiently to meet customer needs</t>
  </si>
  <si>
    <t>"I have enjoyed working at Tap2Eat The experience has helped me improve my customer service teamwork communication and time magement skills I have learned how to work efficiently in a fastpaced environment while ensuring customers receive quality service</t>
  </si>
  <si>
    <t>It was very easy to fill the form it helped me to know the school population</t>
  </si>
  <si>
    <t>It was very easy to fillit helped to know the population</t>
  </si>
  <si>
    <t>ensure it tallies wellyou feed the correct numbers but at the end it gives you a different total</t>
  </si>
  <si>
    <t>Network butweareuptothat and alsoprovision of working materials eg masks detergent etc</t>
  </si>
  <si>
    <t>WANDIEGE PRIMARY ECDE AND JUNIOR SECONDARY SCHOOL</t>
  </si>
  <si>
    <t>The class teachersas instructed by the deputy headteacherdid a headcount amidst being aware of the number of studentsthen submitted the right numbers per class thus simplifying the process</t>
  </si>
  <si>
    <t>The process was okayno complains</t>
  </si>
  <si>
    <t>When the school admits/registers a new studentcan there be edit buttons in the population collection tool where we can update as they come rather than awaiting the term to end and start of another term for the population update?</t>
  </si>
  <si>
    <t>The challenge that I encountered was getting the altitude &amp; longitude couldn't come automaticallythe process getting the</t>
  </si>
  <si>
    <t>On my end all was well</t>
  </si>
  <si>
    <t>Challenges that I encountered during the exercise was The school has very high population and geographically big so locating class teachers for each class was very time consuming</t>
  </si>
  <si>
    <t>For such a big school you can have a tapper come early to help with other tasks as I undertake the population exercise</t>
  </si>
  <si>
    <t>The form was clear and questions were easy to understand</t>
  </si>
  <si>
    <t>All was good F4EHongera👏</t>
  </si>
  <si>
    <t>We need to be given enough time when this kind of information is needed because we need the HOI for this and sometimesthey are not around</t>
  </si>
  <si>
    <t xml:space="preserve">Glad to work with you </t>
  </si>
  <si>
    <t xml:space="preserve">Happy  working with you </t>
  </si>
  <si>
    <t xml:space="preserve">The system is okay </t>
  </si>
  <si>
    <t>Process score</t>
  </si>
  <si>
    <t>Total Score</t>
  </si>
  <si>
    <t>Follow-up Required</t>
  </si>
  <si>
    <t>School  Name Length</t>
  </si>
  <si>
    <t>Row Labels</t>
  </si>
  <si>
    <t>Grand Total</t>
  </si>
  <si>
    <t>Column Labels</t>
  </si>
  <si>
    <t xml:space="preserve">Count of School </t>
  </si>
  <si>
    <t>NEW MU NAKURU PRIMARY SCHOOL</t>
  </si>
  <si>
    <t>WESTERN   NAKURU</t>
  </si>
  <si>
    <t>KAJIADOm LANGATA</t>
  </si>
  <si>
    <t>RUIRU GITHUNGURI</t>
  </si>
  <si>
    <t>KAJIADO LANGATA</t>
  </si>
  <si>
    <t>RUIRU JUJA</t>
  </si>
  <si>
    <t>KIBRA WESTLANDS</t>
  </si>
  <si>
    <t>DAGORETTI WESTLANDS</t>
  </si>
  <si>
    <t>EASTLEIGH STAREHE</t>
  </si>
  <si>
    <t>BIDII ZAWADI REGION</t>
  </si>
  <si>
    <t>Average of Process score</t>
  </si>
  <si>
    <t>YES</t>
  </si>
  <si>
    <t>Field staff across Kenya</t>
  </si>
  <si>
    <t>TOTAL RESPONDENTS</t>
  </si>
  <si>
    <t>COUNTIES COVERED</t>
  </si>
  <si>
    <t>POSITIVE RATING RATE</t>
  </si>
  <si>
    <t>Good or Very Good</t>
  </si>
  <si>
    <t>Nairobi to  Bungoma</t>
  </si>
  <si>
    <t>FOLLOW - UP REQUIRED</t>
  </si>
  <si>
    <t>Poor  or Very Poor Rating</t>
  </si>
  <si>
    <t>Summary — 589 field staff completed population data collection across 12 counties. 97.8% rated the process positively. 13 schools require follow-up, with Nairobi accounting for 6 cases. Western Kakamega recorded the highest offline app usage.</t>
  </si>
  <si>
    <t>Schools</t>
  </si>
  <si>
    <t>Priority</t>
  </si>
  <si>
    <t>Follow-up required schools</t>
  </si>
  <si>
    <t>Sum of Process score</t>
  </si>
  <si>
    <t>Sum of Total Score</t>
  </si>
  <si>
    <t>School Nutrition &amp; Enrollment Insights — Regional Performance Dashboard</t>
  </si>
  <si>
    <t>Population Data Collection • Program Review • Multi-County 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</si>
</sst>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20">
    <font>
      <sz val="11"/>
      <color theme="1"/>
      <name val="Calibri"/>
      <scheme val="minor"/>
    </font>
    <font>
      <sz val="11"/>
      <color theme="1"/>
      <name val="Calibri"/>
      <family val="2"/>
      <scheme val="minor"/>
    </font>
    <font>
      <b/>
      <sz val="11"/>
      <color theme="1"/>
      <name val="Rubik"/>
    </font>
    <font>
      <sz val="11"/>
      <color theme="1"/>
      <name val="Rubik"/>
    </font>
    <font>
      <sz val="11"/>
      <color theme="1"/>
      <name val="Rubik"/>
    </font>
    <font>
      <sz val="11"/>
      <color theme="1"/>
      <name val="Calibri"/>
      <scheme val="minor"/>
    </font>
    <font>
      <b/>
      <sz val="11"/>
      <color theme="1"/>
      <name val="Calibri"/>
      <family val="2"/>
      <scheme val="minor"/>
    </font>
    <font>
      <sz val="8"/>
      <color rgb="FF52514E"/>
      <name val="Times New Roman"/>
      <family val="1"/>
    </font>
    <font>
      <sz val="24"/>
      <color theme="1"/>
      <name val="Calibri"/>
      <family val="2"/>
      <scheme val="minor"/>
    </font>
    <font>
      <sz val="24"/>
      <color theme="1"/>
      <name val="Times New Roman"/>
      <family val="1"/>
    </font>
    <font>
      <b/>
      <sz val="8"/>
      <name val="Times New Roman"/>
      <family val="1"/>
    </font>
    <font>
      <sz val="24"/>
      <color rgb="FF52514E"/>
      <name val="Times New Roman"/>
      <family val="1"/>
    </font>
    <font>
      <sz val="11"/>
      <color theme="1"/>
      <name val="Times New Roman"/>
      <family val="1"/>
    </font>
    <font>
      <sz val="16"/>
      <color theme="1"/>
      <name val="Calibri"/>
      <family val="2"/>
      <scheme val="minor"/>
    </font>
    <font>
      <sz val="20"/>
      <color theme="1"/>
      <name val="Times New Roman"/>
      <family val="1"/>
    </font>
    <font>
      <b/>
      <sz val="10"/>
      <color theme="1"/>
      <name val="Times New Roman"/>
      <family val="1"/>
    </font>
    <font>
      <sz val="10"/>
      <color theme="1"/>
      <name val="Calibri"/>
      <family val="2"/>
      <scheme val="minor"/>
    </font>
    <font>
      <b/>
      <sz val="9"/>
      <color theme="1"/>
      <name val="Times New Roman"/>
      <family val="1"/>
    </font>
    <font>
      <sz val="9"/>
      <color theme="1"/>
      <name val="Times New Roman"/>
      <family val="1"/>
    </font>
    <font>
      <b/>
      <sz val="10"/>
      <name val="Times New Roman"/>
      <family val="1"/>
    </font>
  </fonts>
  <fills count="5">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rgb="FF0070C0"/>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9" fontId="5" fillId="0" borderId="0" applyFont="0" applyFill="0" applyBorder="0" applyAlignment="0" applyProtection="0"/>
  </cellStyleXfs>
  <cellXfs count="54">
    <xf numFmtId="0" fontId="0" fillId="0" borderId="0" xfId="0"/>
    <xf numFmtId="0" fontId="2" fillId="0" borderId="0" xfId="0" applyFont="1"/>
    <xf numFmtId="164" fontId="3" fillId="0" borderId="0" xfId="0" applyNumberFormat="1" applyFont="1"/>
    <xf numFmtId="0" fontId="4" fillId="0" borderId="0" xfId="0" applyFont="1"/>
    <xf numFmtId="0" fontId="3" fillId="0" borderId="0" xfId="0" applyFont="1" applyAlignment="1">
      <alignment vertical="center"/>
    </xf>
    <xf numFmtId="0" fontId="4" fillId="0" borderId="0" xfId="0" applyFont="1" applyAlignment="1">
      <alignment vertical="center"/>
    </xf>
    <xf numFmtId="0" fontId="2" fillId="0" borderId="0" xfId="0" applyFont="1" applyAlignment="1">
      <alignment vertical="center"/>
    </xf>
    <xf numFmtId="0" fontId="6" fillId="0" borderId="0" xfId="0" applyFont="1" applyAlignment="1">
      <alignment vertical="center"/>
    </xf>
    <xf numFmtId="0" fontId="1" fillId="0" borderId="0" xfId="0" applyFont="1" applyAlignment="1">
      <alignment vertical="center"/>
    </xf>
    <xf numFmtId="164" fontId="3" fillId="0" borderId="0" xfId="0" applyNumberFormat="1" applyFont="1" applyAlignment="1">
      <alignment vertical="center"/>
    </xf>
    <xf numFmtId="0" fontId="4" fillId="0" borderId="0" xfId="0" applyFont="1" applyAlignment="1">
      <alignment horizontal="left" vertical="center"/>
    </xf>
    <xf numFmtId="0" fontId="0" fillId="0" borderId="0" xfId="0" pivotButton="1"/>
    <xf numFmtId="0" fontId="0" fillId="0" borderId="0" xfId="0" applyAlignment="1">
      <alignment horizontal="left"/>
    </xf>
    <xf numFmtId="2" fontId="0" fillId="0" borderId="0" xfId="0" applyNumberFormat="1"/>
    <xf numFmtId="0" fontId="7" fillId="0" borderId="0" xfId="0" applyFont="1" applyAlignment="1">
      <alignment vertical="center" wrapText="1"/>
    </xf>
    <xf numFmtId="0" fontId="10" fillId="0" borderId="0" xfId="0" applyFont="1" applyAlignment="1">
      <alignment vertical="center" wrapText="1"/>
    </xf>
    <xf numFmtId="0" fontId="8" fillId="0" borderId="0" xfId="0" applyFont="1"/>
    <xf numFmtId="0" fontId="0" fillId="0" borderId="5" xfId="0" applyBorder="1"/>
    <xf numFmtId="0" fontId="0" fillId="0" borderId="4" xfId="0" applyBorder="1"/>
    <xf numFmtId="0" fontId="8" fillId="0" borderId="5" xfId="0" applyFont="1" applyBorder="1"/>
    <xf numFmtId="0" fontId="7" fillId="0" borderId="5" xfId="0" applyFont="1" applyBorder="1" applyAlignment="1">
      <alignment vertical="center" wrapText="1"/>
    </xf>
    <xf numFmtId="0" fontId="12" fillId="0" borderId="0" xfId="0" applyFont="1"/>
    <xf numFmtId="0" fontId="0" fillId="0" borderId="0" xfId="0" applyAlignment="1">
      <alignment wrapText="1"/>
    </xf>
    <xf numFmtId="0" fontId="0" fillId="2" borderId="0" xfId="0" applyFill="1"/>
    <xf numFmtId="0" fontId="0" fillId="0" borderId="0" xfId="0" applyAlignment="1">
      <alignment vertical="top"/>
    </xf>
    <xf numFmtId="0" fontId="9" fillId="0" borderId="4" xfId="0" applyFont="1" applyBorder="1"/>
    <xf numFmtId="0" fontId="0" fillId="0" borderId="0" xfId="0"/>
    <xf numFmtId="0" fontId="11" fillId="0" borderId="4" xfId="0" applyFont="1" applyBorder="1" applyAlignment="1">
      <alignment vertical="center" wrapText="1"/>
    </xf>
    <xf numFmtId="0" fontId="8" fillId="0" borderId="4" xfId="0" applyFont="1" applyBorder="1"/>
    <xf numFmtId="165" fontId="8" fillId="0" borderId="4" xfId="1" applyNumberFormat="1" applyFont="1" applyBorder="1"/>
    <xf numFmtId="165" fontId="8" fillId="0" borderId="0" xfId="1" applyNumberFormat="1" applyFont="1" applyBorder="1"/>
    <xf numFmtId="0" fontId="0" fillId="0" borderId="0" xfId="0" applyNumberFormat="1"/>
    <xf numFmtId="0" fontId="13" fillId="0" borderId="0" xfId="0" applyFont="1"/>
    <xf numFmtId="0" fontId="7" fillId="0" borderId="0" xfId="0" applyFont="1" applyAlignment="1">
      <alignment horizontal="left" vertical="top" wrapText="1"/>
    </xf>
    <xf numFmtId="0" fontId="0" fillId="0" borderId="0" xfId="0" applyAlignment="1">
      <alignment horizontal="left" vertical="top"/>
    </xf>
    <xf numFmtId="0" fontId="14" fillId="3" borderId="0" xfId="0" applyFont="1" applyFill="1"/>
    <xf numFmtId="0" fontId="14" fillId="3" borderId="0" xfId="0" applyFont="1" applyFill="1" applyAlignment="1">
      <alignment horizontal="left" vertical="top"/>
    </xf>
    <xf numFmtId="0" fontId="1" fillId="4" borderId="0" xfId="0" applyFont="1" applyFill="1" applyAlignment="1">
      <alignment horizontal="left" vertical="top" wrapText="1"/>
    </xf>
    <xf numFmtId="0" fontId="15" fillId="0" borderId="1" xfId="0" applyFont="1" applyBorder="1"/>
    <xf numFmtId="0" fontId="16" fillId="0" borderId="2" xfId="0" applyFont="1" applyBorder="1"/>
    <xf numFmtId="0" fontId="16" fillId="0" borderId="3" xfId="0" applyFont="1" applyBorder="1"/>
    <xf numFmtId="0" fontId="17" fillId="0" borderId="6" xfId="0" applyFont="1" applyBorder="1"/>
    <xf numFmtId="0" fontId="18" fillId="0" borderId="7" xfId="0" applyFont="1" applyBorder="1"/>
    <xf numFmtId="0" fontId="18" fillId="0" borderId="8" xfId="0" applyFont="1" applyBorder="1"/>
    <xf numFmtId="0" fontId="19" fillId="0" borderId="1" xfId="0" applyFont="1" applyBorder="1" applyAlignment="1">
      <alignment vertical="center" wrapText="1"/>
    </xf>
    <xf numFmtId="0" fontId="19" fillId="0" borderId="2" xfId="0" applyFont="1" applyBorder="1" applyAlignment="1">
      <alignment vertical="center" wrapText="1"/>
    </xf>
    <xf numFmtId="0" fontId="19" fillId="0" borderId="3" xfId="0" applyFont="1" applyBorder="1" applyAlignment="1">
      <alignment vertical="center" wrapText="1"/>
    </xf>
    <xf numFmtId="0" fontId="15" fillId="0" borderId="6" xfId="0" applyFont="1" applyBorder="1"/>
    <xf numFmtId="0" fontId="16" fillId="0" borderId="7" xfId="0" applyFont="1" applyBorder="1"/>
    <xf numFmtId="0" fontId="16" fillId="0" borderId="8" xfId="0" applyFont="1" applyBorder="1"/>
    <xf numFmtId="0" fontId="15" fillId="0" borderId="2" xfId="0" applyFont="1" applyBorder="1"/>
    <xf numFmtId="0" fontId="15" fillId="0" borderId="3" xfId="0" applyFont="1" applyBorder="1"/>
    <xf numFmtId="0" fontId="17" fillId="0" borderId="7" xfId="0" applyFont="1" applyBorder="1"/>
    <xf numFmtId="0" fontId="17" fillId="0" borderId="8" xfId="0" applyFont="1" applyBorder="1"/>
  </cellXfs>
  <cellStyles count="2">
    <cellStyle name="Normal" xfId="0" builtinId="0"/>
    <cellStyle name="Percent" xfId="1" builtinId="5"/>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[Term_2_Population_Data_Collection_AAR(1).xlsx]Pivot Tables!PivotTable4</c:name>
    <c:fmtId val="13"/>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400" b="1" i="0" u="none" strike="noStrike" cap="all" baseline="0">
                <a:effectLst/>
                <a:latin typeface="Times New Roman" panose="02020603050405020304" pitchFamily="18" charset="0"/>
                <a:cs typeface="Times New Roman" panose="02020603050405020304" pitchFamily="18" charset="0"/>
              </a:rPr>
              <a:t>Process ratings by county</a:t>
            </a:r>
            <a:endParaRPr lang="en-US" b="1">
              <a:latin typeface="Times New Roman" panose="02020603050405020304" pitchFamily="18" charset="0"/>
              <a:cs typeface="Times New Roman" panose="02020603050405020304" pitchFamily="18" charset="0"/>
            </a:endParaRPr>
          </a:p>
        </c:rich>
      </c:tx>
      <c:layout>
        <c:manualLayout>
          <c:xMode val="edge"/>
          <c:yMode val="edge"/>
          <c:x val="2.0243000874890647E-2"/>
          <c:y val="2.7777777777777776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80555555555556"/>
          <c:y val="0.26942658209390491"/>
          <c:w val="0.50763888888888886"/>
          <c:h val="0.64632217847769025"/>
        </c:manualLayout>
      </c:layout>
      <c:barChart>
        <c:barDir val="bar"/>
        <c:grouping val="stacked"/>
        <c:varyColors val="0"/>
        <c:ser>
          <c:idx val="0"/>
          <c:order val="0"/>
          <c:tx>
            <c:strRef>
              <c:f>'Pivot Tables'!$F$3:$F$4</c:f>
              <c:strCache>
                <c:ptCount val="1"/>
                <c:pt idx="0">
                  <c:v>Good</c:v>
                </c:pt>
              </c:strCache>
            </c:strRef>
          </c:tx>
          <c:spPr>
            <a:solidFill>
              <a:srgbClr val="0070C0"/>
            </a:solidFill>
            <a:ln>
              <a:noFill/>
            </a:ln>
            <a:effectLst/>
          </c:spPr>
          <c:invertIfNegative val="0"/>
          <c:cat>
            <c:strRef>
              <c:f>'Pivot Tables'!$E$5:$E$17</c:f>
              <c:strCache>
                <c:ptCount val="12"/>
                <c:pt idx="0">
                  <c:v>NAKURU</c:v>
                </c:pt>
                <c:pt idx="1">
                  <c:v>MACHAKOS</c:v>
                </c:pt>
                <c:pt idx="2">
                  <c:v>KAJIADO</c:v>
                </c:pt>
                <c:pt idx="3">
                  <c:v>NYERI</c:v>
                </c:pt>
                <c:pt idx="4">
                  <c:v>KISUMU</c:v>
                </c:pt>
                <c:pt idx="5">
                  <c:v>MOMBASA</c:v>
                </c:pt>
                <c:pt idx="6">
                  <c:v>KAKAMEGA</c:v>
                </c:pt>
                <c:pt idx="7">
                  <c:v>BUNGOMA</c:v>
                </c:pt>
                <c:pt idx="8">
                  <c:v>UASINGISHU</c:v>
                </c:pt>
                <c:pt idx="9">
                  <c:v>MURANG'A</c:v>
                </c:pt>
                <c:pt idx="10">
                  <c:v>KIAMBU</c:v>
                </c:pt>
                <c:pt idx="11">
                  <c:v>NAIROBI</c:v>
                </c:pt>
              </c:strCache>
            </c:strRef>
          </c:cat>
          <c:val>
            <c:numRef>
              <c:f>'Pivot Tables'!$F$5:$F$17</c:f>
              <c:numCache>
                <c:formatCode>General</c:formatCode>
                <c:ptCount val="12"/>
                <c:pt idx="0">
                  <c:v>2</c:v>
                </c:pt>
                <c:pt idx="1">
                  <c:v>3</c:v>
                </c:pt>
                <c:pt idx="2">
                  <c:v>4</c:v>
                </c:pt>
                <c:pt idx="3">
                  <c:v>8</c:v>
                </c:pt>
                <c:pt idx="4">
                  <c:v>10</c:v>
                </c:pt>
                <c:pt idx="5">
                  <c:v>11</c:v>
                </c:pt>
                <c:pt idx="6">
                  <c:v>13</c:v>
                </c:pt>
                <c:pt idx="7">
                  <c:v>16</c:v>
                </c:pt>
                <c:pt idx="8">
                  <c:v>31</c:v>
                </c:pt>
                <c:pt idx="9">
                  <c:v>47</c:v>
                </c:pt>
                <c:pt idx="10">
                  <c:v>96</c:v>
                </c:pt>
                <c:pt idx="11">
                  <c:v>107</c:v>
                </c:pt>
              </c:numCache>
            </c:numRef>
          </c:val>
          <c:extLst>
            <c:ext xmlns:c16="http://schemas.microsoft.com/office/drawing/2014/chart" uri="{C3380CC4-5D6E-409C-BE32-E72D297353CC}">
              <c16:uniqueId val="{00000000-1786-4E85-B8D1-36DFF1BA8DA6}"/>
            </c:ext>
          </c:extLst>
        </c:ser>
        <c:ser>
          <c:idx val="1"/>
          <c:order val="1"/>
          <c:tx>
            <c:strRef>
              <c:f>'Pivot Tables'!$G$3:$G$4</c:f>
              <c:strCache>
                <c:ptCount val="1"/>
                <c:pt idx="0">
                  <c:v>Very Good</c:v>
                </c:pt>
              </c:strCache>
            </c:strRef>
          </c:tx>
          <c:spPr>
            <a:solidFill>
              <a:srgbClr val="00B050"/>
            </a:solidFill>
            <a:ln>
              <a:noFill/>
            </a:ln>
            <a:effectLst/>
          </c:spPr>
          <c:invertIfNegative val="0"/>
          <c:cat>
            <c:strRef>
              <c:f>'Pivot Tables'!$E$5:$E$17</c:f>
              <c:strCache>
                <c:ptCount val="12"/>
                <c:pt idx="0">
                  <c:v>NAKURU</c:v>
                </c:pt>
                <c:pt idx="1">
                  <c:v>MACHAKOS</c:v>
                </c:pt>
                <c:pt idx="2">
                  <c:v>KAJIADO</c:v>
                </c:pt>
                <c:pt idx="3">
                  <c:v>NYERI</c:v>
                </c:pt>
                <c:pt idx="4">
                  <c:v>KISUMU</c:v>
                </c:pt>
                <c:pt idx="5">
                  <c:v>MOMBASA</c:v>
                </c:pt>
                <c:pt idx="6">
                  <c:v>KAKAMEGA</c:v>
                </c:pt>
                <c:pt idx="7">
                  <c:v>BUNGOMA</c:v>
                </c:pt>
                <c:pt idx="8">
                  <c:v>UASINGISHU</c:v>
                </c:pt>
                <c:pt idx="9">
                  <c:v>MURANG'A</c:v>
                </c:pt>
                <c:pt idx="10">
                  <c:v>KIAMBU</c:v>
                </c:pt>
                <c:pt idx="11">
                  <c:v>NAIROBI</c:v>
                </c:pt>
              </c:strCache>
            </c:strRef>
          </c:cat>
          <c:val>
            <c:numRef>
              <c:f>'Pivot Tables'!$G$5:$G$17</c:f>
              <c:numCache>
                <c:formatCode>General</c:formatCode>
                <c:ptCount val="12"/>
                <c:pt idx="0">
                  <c:v>1</c:v>
                </c:pt>
                <c:pt idx="1">
                  <c:v>1</c:v>
                </c:pt>
                <c:pt idx="2">
                  <c:v>2</c:v>
                </c:pt>
                <c:pt idx="3">
                  <c:v>3</c:v>
                </c:pt>
                <c:pt idx="4">
                  <c:v>11</c:v>
                </c:pt>
                <c:pt idx="5">
                  <c:v>12</c:v>
                </c:pt>
                <c:pt idx="6">
                  <c:v>13</c:v>
                </c:pt>
                <c:pt idx="7">
                  <c:v>13</c:v>
                </c:pt>
                <c:pt idx="8">
                  <c:v>15</c:v>
                </c:pt>
                <c:pt idx="9">
                  <c:v>11</c:v>
                </c:pt>
                <c:pt idx="10">
                  <c:v>69</c:v>
                </c:pt>
                <c:pt idx="11">
                  <c:v>77</c:v>
                </c:pt>
              </c:numCache>
            </c:numRef>
          </c:val>
          <c:extLst>
            <c:ext xmlns:c16="http://schemas.microsoft.com/office/drawing/2014/chart" uri="{C3380CC4-5D6E-409C-BE32-E72D297353CC}">
              <c16:uniqueId val="{0000002D-1786-4E85-B8D1-36DFF1BA8DA6}"/>
            </c:ext>
          </c:extLst>
        </c:ser>
        <c:ser>
          <c:idx val="2"/>
          <c:order val="2"/>
          <c:tx>
            <c:strRef>
              <c:f>'Pivot Tables'!$H$3:$H$4</c:f>
              <c:strCache>
                <c:ptCount val="1"/>
                <c:pt idx="0">
                  <c:v>Poor</c:v>
                </c:pt>
              </c:strCache>
            </c:strRef>
          </c:tx>
          <c:spPr>
            <a:solidFill>
              <a:schemeClr val="accent6">
                <a:lumMod val="75000"/>
              </a:schemeClr>
            </a:solidFill>
            <a:ln>
              <a:noFill/>
            </a:ln>
            <a:effectLst/>
          </c:spPr>
          <c:invertIfNegative val="0"/>
          <c:cat>
            <c:strRef>
              <c:f>'Pivot Tables'!$E$5:$E$17</c:f>
              <c:strCache>
                <c:ptCount val="12"/>
                <c:pt idx="0">
                  <c:v>NAKURU</c:v>
                </c:pt>
                <c:pt idx="1">
                  <c:v>MACHAKOS</c:v>
                </c:pt>
                <c:pt idx="2">
                  <c:v>KAJIADO</c:v>
                </c:pt>
                <c:pt idx="3">
                  <c:v>NYERI</c:v>
                </c:pt>
                <c:pt idx="4">
                  <c:v>KISUMU</c:v>
                </c:pt>
                <c:pt idx="5">
                  <c:v>MOMBASA</c:v>
                </c:pt>
                <c:pt idx="6">
                  <c:v>KAKAMEGA</c:v>
                </c:pt>
                <c:pt idx="7">
                  <c:v>BUNGOMA</c:v>
                </c:pt>
                <c:pt idx="8">
                  <c:v>UASINGISHU</c:v>
                </c:pt>
                <c:pt idx="9">
                  <c:v>MURANG'A</c:v>
                </c:pt>
                <c:pt idx="10">
                  <c:v>KIAMBU</c:v>
                </c:pt>
                <c:pt idx="11">
                  <c:v>NAIROBI</c:v>
                </c:pt>
              </c:strCache>
            </c:strRef>
          </c:cat>
          <c:val>
            <c:numRef>
              <c:f>'Pivot Tables'!$H$5:$H$17</c:f>
              <c:numCache>
                <c:formatCode>General</c:formatCode>
                <c:ptCount val="12"/>
                <c:pt idx="3">
                  <c:v>2</c:v>
                </c:pt>
                <c:pt idx="9">
                  <c:v>1</c:v>
                </c:pt>
                <c:pt idx="10">
                  <c:v>1</c:v>
                </c:pt>
                <c:pt idx="11">
                  <c:v>4</c:v>
                </c:pt>
              </c:numCache>
            </c:numRef>
          </c:val>
          <c:extLst>
            <c:ext xmlns:c16="http://schemas.microsoft.com/office/drawing/2014/chart" uri="{C3380CC4-5D6E-409C-BE32-E72D297353CC}">
              <c16:uniqueId val="{00000030-1786-4E85-B8D1-36DFF1BA8DA6}"/>
            </c:ext>
          </c:extLst>
        </c:ser>
        <c:ser>
          <c:idx val="3"/>
          <c:order val="3"/>
          <c:tx>
            <c:strRef>
              <c:f>'Pivot Tables'!$I$3:$I$4</c:f>
              <c:strCache>
                <c:ptCount val="1"/>
                <c:pt idx="0">
                  <c:v>Very Poor</c:v>
                </c:pt>
              </c:strCache>
            </c:strRef>
          </c:tx>
          <c:spPr>
            <a:solidFill>
              <a:srgbClr val="FF0000"/>
            </a:solidFill>
            <a:ln>
              <a:noFill/>
            </a:ln>
            <a:effectLst/>
          </c:spPr>
          <c:invertIfNegative val="0"/>
          <c:cat>
            <c:strRef>
              <c:f>'Pivot Tables'!$E$5:$E$17</c:f>
              <c:strCache>
                <c:ptCount val="12"/>
                <c:pt idx="0">
                  <c:v>NAKURU</c:v>
                </c:pt>
                <c:pt idx="1">
                  <c:v>MACHAKOS</c:v>
                </c:pt>
                <c:pt idx="2">
                  <c:v>KAJIADO</c:v>
                </c:pt>
                <c:pt idx="3">
                  <c:v>NYERI</c:v>
                </c:pt>
                <c:pt idx="4">
                  <c:v>KISUMU</c:v>
                </c:pt>
                <c:pt idx="5">
                  <c:v>MOMBASA</c:v>
                </c:pt>
                <c:pt idx="6">
                  <c:v>KAKAMEGA</c:v>
                </c:pt>
                <c:pt idx="7">
                  <c:v>BUNGOMA</c:v>
                </c:pt>
                <c:pt idx="8">
                  <c:v>UASINGISHU</c:v>
                </c:pt>
                <c:pt idx="9">
                  <c:v>MURANG'A</c:v>
                </c:pt>
                <c:pt idx="10">
                  <c:v>KIAMBU</c:v>
                </c:pt>
                <c:pt idx="11">
                  <c:v>NAIROBI</c:v>
                </c:pt>
              </c:strCache>
            </c:strRef>
          </c:cat>
          <c:val>
            <c:numRef>
              <c:f>'Pivot Tables'!$I$5:$I$17</c:f>
              <c:numCache>
                <c:formatCode>General</c:formatCode>
                <c:ptCount val="12"/>
                <c:pt idx="9">
                  <c:v>2</c:v>
                </c:pt>
                <c:pt idx="10">
                  <c:v>1</c:v>
                </c:pt>
                <c:pt idx="11">
                  <c:v>2</c:v>
                </c:pt>
              </c:numCache>
            </c:numRef>
          </c:val>
          <c:extLst>
            <c:ext xmlns:c16="http://schemas.microsoft.com/office/drawing/2014/chart" uri="{C3380CC4-5D6E-409C-BE32-E72D297353CC}">
              <c16:uniqueId val="{00000031-1786-4E85-B8D1-36DFF1BA8DA6}"/>
            </c:ext>
          </c:extLst>
        </c:ser>
        <c:dLbls>
          <c:showLegendKey val="0"/>
          <c:showVal val="0"/>
          <c:showCatName val="0"/>
          <c:showSerName val="0"/>
          <c:showPercent val="0"/>
          <c:showBubbleSize val="0"/>
        </c:dLbls>
        <c:gapWidth val="50"/>
        <c:overlap val="100"/>
        <c:axId val="543823711"/>
        <c:axId val="543824191"/>
      </c:barChart>
      <c:catAx>
        <c:axId val="5438237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824191"/>
        <c:crosses val="autoZero"/>
        <c:auto val="1"/>
        <c:lblAlgn val="ctr"/>
        <c:lblOffset val="100"/>
        <c:noMultiLvlLbl val="0"/>
      </c:catAx>
      <c:valAx>
        <c:axId val="54382419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823711"/>
        <c:crosses val="autoZero"/>
        <c:crossBetween val="between"/>
      </c:valAx>
      <c:spPr>
        <a:noFill/>
        <a:ln>
          <a:noFill/>
        </a:ln>
        <a:effectLst/>
      </c:spPr>
    </c:plotArea>
    <c:legend>
      <c:legendPos val="t"/>
      <c:layout>
        <c:manualLayout>
          <c:xMode val="edge"/>
          <c:yMode val="edge"/>
          <c:x val="2.2372265966754155E-2"/>
          <c:y val="0.14398148148148149"/>
          <c:w val="0.59136657917760282"/>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[Term_2_Population_Data_Collection_AAR(1).xlsx]Pivot Tables!PivotTable5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AVERAGE SCORE BY COUNTY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Tables'!$E$21:$E$33</c:f>
              <c:strCache>
                <c:ptCount val="12"/>
                <c:pt idx="0">
                  <c:v>NYERI</c:v>
                </c:pt>
                <c:pt idx="1">
                  <c:v>MURANG'A</c:v>
                </c:pt>
                <c:pt idx="2">
                  <c:v>MACHAKOS</c:v>
                </c:pt>
                <c:pt idx="3">
                  <c:v>UASINGISHU</c:v>
                </c:pt>
                <c:pt idx="4">
                  <c:v>KAJIADO</c:v>
                </c:pt>
                <c:pt idx="5">
                  <c:v>NAKURU</c:v>
                </c:pt>
                <c:pt idx="6">
                  <c:v>NAIROBI</c:v>
                </c:pt>
                <c:pt idx="7">
                  <c:v>KIAMBU</c:v>
                </c:pt>
                <c:pt idx="8">
                  <c:v>BUNGOMA</c:v>
                </c:pt>
                <c:pt idx="9">
                  <c:v>KAKAMEGA</c:v>
                </c:pt>
                <c:pt idx="10">
                  <c:v>MOMBASA</c:v>
                </c:pt>
                <c:pt idx="11">
                  <c:v>KISUMU</c:v>
                </c:pt>
              </c:strCache>
            </c:strRef>
          </c:cat>
          <c:val>
            <c:numRef>
              <c:f>'Pivot Tables'!$F$21:$F$33</c:f>
              <c:numCache>
                <c:formatCode>0.00</c:formatCode>
                <c:ptCount val="12"/>
                <c:pt idx="0">
                  <c:v>3.0769230769230771</c:v>
                </c:pt>
                <c:pt idx="1">
                  <c:v>3.098360655737705</c:v>
                </c:pt>
                <c:pt idx="2">
                  <c:v>3.25</c:v>
                </c:pt>
                <c:pt idx="3">
                  <c:v>3.3260869565217392</c:v>
                </c:pt>
                <c:pt idx="4">
                  <c:v>3.3333333333333335</c:v>
                </c:pt>
                <c:pt idx="5">
                  <c:v>3.3333333333333335</c:v>
                </c:pt>
                <c:pt idx="6">
                  <c:v>3.3631578947368421</c:v>
                </c:pt>
                <c:pt idx="7">
                  <c:v>3.3952095808383231</c:v>
                </c:pt>
                <c:pt idx="8">
                  <c:v>3.4482758620689653</c:v>
                </c:pt>
                <c:pt idx="9">
                  <c:v>3.5</c:v>
                </c:pt>
                <c:pt idx="10">
                  <c:v>3.5217391304347827</c:v>
                </c:pt>
                <c:pt idx="11">
                  <c:v>3.5238095238095237</c:v>
                </c:pt>
              </c:numCache>
            </c:numRef>
          </c:val>
          <c:extLst>
            <c:ext xmlns:c16="http://schemas.microsoft.com/office/drawing/2014/chart" uri="{C3380CC4-5D6E-409C-BE32-E72D297353CC}">
              <c16:uniqueId val="{00000000-32DB-447D-9D59-3331D8294919}"/>
            </c:ext>
          </c:extLst>
        </c:ser>
        <c:dLbls>
          <c:dLblPos val="outEnd"/>
          <c:showLegendKey val="0"/>
          <c:showVal val="1"/>
          <c:showCatName val="0"/>
          <c:showSerName val="0"/>
          <c:showPercent val="0"/>
          <c:showBubbleSize val="0"/>
        </c:dLbls>
        <c:gapWidth val="180"/>
        <c:axId val="543825631"/>
        <c:axId val="543826591"/>
      </c:barChart>
      <c:catAx>
        <c:axId val="543825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826591"/>
        <c:crosses val="autoZero"/>
        <c:auto val="1"/>
        <c:lblAlgn val="ctr"/>
        <c:lblOffset val="100"/>
        <c:noMultiLvlLbl val="0"/>
      </c:catAx>
      <c:valAx>
        <c:axId val="543826591"/>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825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[Term_2_Population_Data_Collection_AAR(1).xlsx]Pivot Tables!PivotTable3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cap="all" baseline="0">
                <a:effectLst/>
              </a:rPr>
              <a:t>Data collection mode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Tables'!$M$3:$M$4</c:f>
              <c:strCache>
                <c:ptCount val="1"/>
                <c:pt idx="0">
                  <c:v>Offline (Used the app)</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Tables'!$L$5:$L$18</c:f>
              <c:strCache>
                <c:ptCount val="13"/>
                <c:pt idx="0">
                  <c:v>WESTERN   NAKURU</c:v>
                </c:pt>
                <c:pt idx="1">
                  <c:v>WESTERN  KAKAMEGA</c:v>
                </c:pt>
                <c:pt idx="2">
                  <c:v>WESTERN  BUNGOMA</c:v>
                </c:pt>
                <c:pt idx="3">
                  <c:v>COAST</c:v>
                </c:pt>
                <c:pt idx="4">
                  <c:v>DECENTRALIZED CENTRAL  NYERI</c:v>
                </c:pt>
                <c:pt idx="5">
                  <c:v>WESTERN  KISUMU</c:v>
                </c:pt>
                <c:pt idx="6">
                  <c:v>KIAMBU EAST</c:v>
                </c:pt>
                <c:pt idx="7">
                  <c:v>WESTERN  UASINGISHU</c:v>
                </c:pt>
                <c:pt idx="8">
                  <c:v>KIAMBU WEST</c:v>
                </c:pt>
                <c:pt idx="9">
                  <c:v>DECENTRALIZED CENTRAL  MURANG'A</c:v>
                </c:pt>
                <c:pt idx="10">
                  <c:v>KIAMBU CENTRAL</c:v>
                </c:pt>
                <c:pt idx="11">
                  <c:v>NAIROBI WEST</c:v>
                </c:pt>
                <c:pt idx="12">
                  <c:v>NAIROBI EAST</c:v>
                </c:pt>
              </c:strCache>
            </c:strRef>
          </c:cat>
          <c:val>
            <c:numRef>
              <c:f>'Pivot Tables'!$M$5:$M$18</c:f>
              <c:numCache>
                <c:formatCode>General</c:formatCode>
                <c:ptCount val="13"/>
                <c:pt idx="0">
                  <c:v>2</c:v>
                </c:pt>
                <c:pt idx="1">
                  <c:v>25</c:v>
                </c:pt>
                <c:pt idx="2">
                  <c:v>18</c:v>
                </c:pt>
                <c:pt idx="3">
                  <c:v>11</c:v>
                </c:pt>
                <c:pt idx="5">
                  <c:v>8</c:v>
                </c:pt>
                <c:pt idx="6">
                  <c:v>16</c:v>
                </c:pt>
                <c:pt idx="7">
                  <c:v>21</c:v>
                </c:pt>
                <c:pt idx="8">
                  <c:v>14</c:v>
                </c:pt>
                <c:pt idx="9">
                  <c:v>6</c:v>
                </c:pt>
                <c:pt idx="10">
                  <c:v>13</c:v>
                </c:pt>
                <c:pt idx="11">
                  <c:v>13</c:v>
                </c:pt>
                <c:pt idx="12">
                  <c:v>5</c:v>
                </c:pt>
              </c:numCache>
            </c:numRef>
          </c:val>
          <c:extLst>
            <c:ext xmlns:c16="http://schemas.microsoft.com/office/drawing/2014/chart" uri="{C3380CC4-5D6E-409C-BE32-E72D297353CC}">
              <c16:uniqueId val="{00000000-652A-4102-A779-88C78FACE788}"/>
            </c:ext>
          </c:extLst>
        </c:ser>
        <c:ser>
          <c:idx val="1"/>
          <c:order val="1"/>
          <c:tx>
            <c:strRef>
              <c:f>'Pivot Tables'!$N$3:$N$4</c:f>
              <c:strCache>
                <c:ptCount val="1"/>
                <c:pt idx="0">
                  <c:v>Online (Link)</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Tables'!$L$5:$L$18</c:f>
              <c:strCache>
                <c:ptCount val="13"/>
                <c:pt idx="0">
                  <c:v>WESTERN   NAKURU</c:v>
                </c:pt>
                <c:pt idx="1">
                  <c:v>WESTERN  KAKAMEGA</c:v>
                </c:pt>
                <c:pt idx="2">
                  <c:v>WESTERN  BUNGOMA</c:v>
                </c:pt>
                <c:pt idx="3">
                  <c:v>COAST</c:v>
                </c:pt>
                <c:pt idx="4">
                  <c:v>DECENTRALIZED CENTRAL  NYERI</c:v>
                </c:pt>
                <c:pt idx="5">
                  <c:v>WESTERN  KISUMU</c:v>
                </c:pt>
                <c:pt idx="6">
                  <c:v>KIAMBU EAST</c:v>
                </c:pt>
                <c:pt idx="7">
                  <c:v>WESTERN  UASINGISHU</c:v>
                </c:pt>
                <c:pt idx="8">
                  <c:v>KIAMBU WEST</c:v>
                </c:pt>
                <c:pt idx="9">
                  <c:v>DECENTRALIZED CENTRAL  MURANG'A</c:v>
                </c:pt>
                <c:pt idx="10">
                  <c:v>KIAMBU CENTRAL</c:v>
                </c:pt>
                <c:pt idx="11">
                  <c:v>NAIROBI WEST</c:v>
                </c:pt>
                <c:pt idx="12">
                  <c:v>NAIROBI EAST</c:v>
                </c:pt>
              </c:strCache>
            </c:strRef>
          </c:cat>
          <c:val>
            <c:numRef>
              <c:f>'Pivot Tables'!$N$5:$N$18</c:f>
              <c:numCache>
                <c:formatCode>General</c:formatCode>
                <c:ptCount val="13"/>
                <c:pt idx="0">
                  <c:v>1</c:v>
                </c:pt>
                <c:pt idx="1">
                  <c:v>1</c:v>
                </c:pt>
                <c:pt idx="2">
                  <c:v>11</c:v>
                </c:pt>
                <c:pt idx="3">
                  <c:v>12</c:v>
                </c:pt>
                <c:pt idx="4">
                  <c:v>13</c:v>
                </c:pt>
                <c:pt idx="5">
                  <c:v>13</c:v>
                </c:pt>
                <c:pt idx="6">
                  <c:v>19</c:v>
                </c:pt>
                <c:pt idx="7">
                  <c:v>25</c:v>
                </c:pt>
                <c:pt idx="8">
                  <c:v>35</c:v>
                </c:pt>
                <c:pt idx="9">
                  <c:v>55</c:v>
                </c:pt>
                <c:pt idx="10">
                  <c:v>70</c:v>
                </c:pt>
                <c:pt idx="11">
                  <c:v>77</c:v>
                </c:pt>
                <c:pt idx="12">
                  <c:v>105</c:v>
                </c:pt>
              </c:numCache>
            </c:numRef>
          </c:val>
          <c:extLst>
            <c:ext xmlns:c16="http://schemas.microsoft.com/office/drawing/2014/chart" uri="{C3380CC4-5D6E-409C-BE32-E72D297353CC}">
              <c16:uniqueId val="{0000000C-652A-4102-A779-88C78FACE788}"/>
            </c:ext>
          </c:extLst>
        </c:ser>
        <c:dLbls>
          <c:dLblPos val="ctr"/>
          <c:showLegendKey val="0"/>
          <c:showVal val="1"/>
          <c:showCatName val="0"/>
          <c:showSerName val="0"/>
          <c:showPercent val="0"/>
          <c:showBubbleSize val="0"/>
        </c:dLbls>
        <c:gapWidth val="150"/>
        <c:overlap val="100"/>
        <c:axId val="927289439"/>
        <c:axId val="927306239"/>
      </c:barChart>
      <c:catAx>
        <c:axId val="9272894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306239"/>
        <c:crosses val="autoZero"/>
        <c:auto val="1"/>
        <c:lblAlgn val="ctr"/>
        <c:lblOffset val="100"/>
        <c:noMultiLvlLbl val="0"/>
      </c:catAx>
      <c:valAx>
        <c:axId val="927306239"/>
        <c:scaling>
          <c:orientation val="minMax"/>
        </c:scaling>
        <c:delete val="1"/>
        <c:axPos val="b"/>
        <c:numFmt formatCode="0%" sourceLinked="1"/>
        <c:majorTickMark val="out"/>
        <c:minorTickMark val="none"/>
        <c:tickLblPos val="nextTo"/>
        <c:crossAx val="9272894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[Term_2_Population_Data_Collection_AAR(1).xlsx]Pivot Tables!PivotTable1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cap="all" baseline="0">
                <a:effectLst/>
              </a:rPr>
              <a:t>Ratings by staff role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Tables'!$R$3:$R$4</c:f>
              <c:strCache>
                <c:ptCount val="1"/>
                <c:pt idx="0">
                  <c:v>Good</c:v>
                </c:pt>
              </c:strCache>
            </c:strRef>
          </c:tx>
          <c:spPr>
            <a:solidFill>
              <a:schemeClr val="accent1"/>
            </a:solidFill>
            <a:ln>
              <a:noFill/>
            </a:ln>
            <a:effectLst/>
          </c:spPr>
          <c:invertIfNegative val="0"/>
          <c:cat>
            <c:strRef>
              <c:f>'Pivot Tables'!$Q$5:$Q$9</c:f>
              <c:strCache>
                <c:ptCount val="4"/>
                <c:pt idx="0">
                  <c:v>SL/SC</c:v>
                </c:pt>
                <c:pt idx="1">
                  <c:v>KO</c:v>
                </c:pt>
                <c:pt idx="2">
                  <c:v>Server</c:v>
                </c:pt>
                <c:pt idx="3">
                  <c:v>Highschool Tapper</c:v>
                </c:pt>
              </c:strCache>
            </c:strRef>
          </c:cat>
          <c:val>
            <c:numRef>
              <c:f>'Pivot Tables'!$R$5:$R$9</c:f>
              <c:numCache>
                <c:formatCode>General</c:formatCode>
                <c:ptCount val="4"/>
                <c:pt idx="0">
                  <c:v>233</c:v>
                </c:pt>
                <c:pt idx="1">
                  <c:v>51</c:v>
                </c:pt>
                <c:pt idx="2">
                  <c:v>37</c:v>
                </c:pt>
                <c:pt idx="3">
                  <c:v>27</c:v>
                </c:pt>
              </c:numCache>
            </c:numRef>
          </c:val>
          <c:extLst>
            <c:ext xmlns:c16="http://schemas.microsoft.com/office/drawing/2014/chart" uri="{C3380CC4-5D6E-409C-BE32-E72D297353CC}">
              <c16:uniqueId val="{00000000-6FC3-48C7-84F8-59061F0CA745}"/>
            </c:ext>
          </c:extLst>
        </c:ser>
        <c:ser>
          <c:idx val="1"/>
          <c:order val="1"/>
          <c:tx>
            <c:strRef>
              <c:f>'Pivot Tables'!$S$3:$S$4</c:f>
              <c:strCache>
                <c:ptCount val="1"/>
                <c:pt idx="0">
                  <c:v>Poor</c:v>
                </c:pt>
              </c:strCache>
            </c:strRef>
          </c:tx>
          <c:spPr>
            <a:solidFill>
              <a:schemeClr val="accent2"/>
            </a:solidFill>
            <a:ln>
              <a:noFill/>
            </a:ln>
            <a:effectLst/>
          </c:spPr>
          <c:invertIfNegative val="0"/>
          <c:cat>
            <c:strRef>
              <c:f>'Pivot Tables'!$Q$5:$Q$9</c:f>
              <c:strCache>
                <c:ptCount val="4"/>
                <c:pt idx="0">
                  <c:v>SL/SC</c:v>
                </c:pt>
                <c:pt idx="1">
                  <c:v>KO</c:v>
                </c:pt>
                <c:pt idx="2">
                  <c:v>Server</c:v>
                </c:pt>
                <c:pt idx="3">
                  <c:v>Highschool Tapper</c:v>
                </c:pt>
              </c:strCache>
            </c:strRef>
          </c:cat>
          <c:val>
            <c:numRef>
              <c:f>'Pivot Tables'!$S$5:$S$9</c:f>
              <c:numCache>
                <c:formatCode>General</c:formatCode>
                <c:ptCount val="4"/>
                <c:pt idx="0">
                  <c:v>5</c:v>
                </c:pt>
                <c:pt idx="1">
                  <c:v>1</c:v>
                </c:pt>
                <c:pt idx="2">
                  <c:v>2</c:v>
                </c:pt>
              </c:numCache>
            </c:numRef>
          </c:val>
          <c:extLst>
            <c:ext xmlns:c16="http://schemas.microsoft.com/office/drawing/2014/chart" uri="{C3380CC4-5D6E-409C-BE32-E72D297353CC}">
              <c16:uniqueId val="{00000007-6FC3-48C7-84F8-59061F0CA745}"/>
            </c:ext>
          </c:extLst>
        </c:ser>
        <c:ser>
          <c:idx val="2"/>
          <c:order val="2"/>
          <c:tx>
            <c:strRef>
              <c:f>'Pivot Tables'!$T$3:$T$4</c:f>
              <c:strCache>
                <c:ptCount val="1"/>
                <c:pt idx="0">
                  <c:v>Very Good</c:v>
                </c:pt>
              </c:strCache>
            </c:strRef>
          </c:tx>
          <c:spPr>
            <a:solidFill>
              <a:schemeClr val="accent3"/>
            </a:solidFill>
            <a:ln>
              <a:noFill/>
            </a:ln>
            <a:effectLst/>
          </c:spPr>
          <c:invertIfNegative val="0"/>
          <c:cat>
            <c:strRef>
              <c:f>'Pivot Tables'!$Q$5:$Q$9</c:f>
              <c:strCache>
                <c:ptCount val="4"/>
                <c:pt idx="0">
                  <c:v>SL/SC</c:v>
                </c:pt>
                <c:pt idx="1">
                  <c:v>KO</c:v>
                </c:pt>
                <c:pt idx="2">
                  <c:v>Server</c:v>
                </c:pt>
                <c:pt idx="3">
                  <c:v>Highschool Tapper</c:v>
                </c:pt>
              </c:strCache>
            </c:strRef>
          </c:cat>
          <c:val>
            <c:numRef>
              <c:f>'Pivot Tables'!$T$5:$T$9</c:f>
              <c:numCache>
                <c:formatCode>General</c:formatCode>
                <c:ptCount val="4"/>
                <c:pt idx="0">
                  <c:v>188</c:v>
                </c:pt>
                <c:pt idx="1">
                  <c:v>22</c:v>
                </c:pt>
                <c:pt idx="2">
                  <c:v>10</c:v>
                </c:pt>
                <c:pt idx="3">
                  <c:v>8</c:v>
                </c:pt>
              </c:numCache>
            </c:numRef>
          </c:val>
          <c:extLst>
            <c:ext xmlns:c16="http://schemas.microsoft.com/office/drawing/2014/chart" uri="{C3380CC4-5D6E-409C-BE32-E72D297353CC}">
              <c16:uniqueId val="{0000000A-6FC3-48C7-84F8-59061F0CA745}"/>
            </c:ext>
          </c:extLst>
        </c:ser>
        <c:ser>
          <c:idx val="3"/>
          <c:order val="3"/>
          <c:tx>
            <c:strRef>
              <c:f>'Pivot Tables'!$U$3:$U$4</c:f>
              <c:strCache>
                <c:ptCount val="1"/>
                <c:pt idx="0">
                  <c:v>Very Poor</c:v>
                </c:pt>
              </c:strCache>
            </c:strRef>
          </c:tx>
          <c:spPr>
            <a:solidFill>
              <a:schemeClr val="accent4"/>
            </a:solidFill>
            <a:ln>
              <a:noFill/>
            </a:ln>
            <a:effectLst/>
          </c:spPr>
          <c:invertIfNegative val="0"/>
          <c:cat>
            <c:strRef>
              <c:f>'Pivot Tables'!$Q$5:$Q$9</c:f>
              <c:strCache>
                <c:ptCount val="4"/>
                <c:pt idx="0">
                  <c:v>SL/SC</c:v>
                </c:pt>
                <c:pt idx="1">
                  <c:v>KO</c:v>
                </c:pt>
                <c:pt idx="2">
                  <c:v>Server</c:v>
                </c:pt>
                <c:pt idx="3">
                  <c:v>Highschool Tapper</c:v>
                </c:pt>
              </c:strCache>
            </c:strRef>
          </c:cat>
          <c:val>
            <c:numRef>
              <c:f>'Pivot Tables'!$U$5:$U$9</c:f>
              <c:numCache>
                <c:formatCode>General</c:formatCode>
                <c:ptCount val="4"/>
                <c:pt idx="0">
                  <c:v>2</c:v>
                </c:pt>
                <c:pt idx="1">
                  <c:v>1</c:v>
                </c:pt>
                <c:pt idx="2">
                  <c:v>1</c:v>
                </c:pt>
                <c:pt idx="3">
                  <c:v>1</c:v>
                </c:pt>
              </c:numCache>
            </c:numRef>
          </c:val>
          <c:extLst>
            <c:ext xmlns:c16="http://schemas.microsoft.com/office/drawing/2014/chart" uri="{C3380CC4-5D6E-409C-BE32-E72D297353CC}">
              <c16:uniqueId val="{0000000B-6FC3-48C7-84F8-59061F0CA745}"/>
            </c:ext>
          </c:extLst>
        </c:ser>
        <c:dLbls>
          <c:showLegendKey val="0"/>
          <c:showVal val="0"/>
          <c:showCatName val="0"/>
          <c:showSerName val="0"/>
          <c:showPercent val="0"/>
          <c:showBubbleSize val="0"/>
        </c:dLbls>
        <c:gapWidth val="219"/>
        <c:overlap val="-27"/>
        <c:axId val="808512319"/>
        <c:axId val="808520959"/>
      </c:barChart>
      <c:catAx>
        <c:axId val="8085123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520959"/>
        <c:crosses val="autoZero"/>
        <c:auto val="1"/>
        <c:lblAlgn val="ctr"/>
        <c:lblOffset val="100"/>
        <c:noMultiLvlLbl val="0"/>
      </c:catAx>
      <c:valAx>
        <c:axId val="80852095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512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[Term_2_Population_Data_Collection_AAR(1).xlsx]Pivot Tables!PivotTable2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cap="all" baseline="0">
                <a:effectLst/>
              </a:rPr>
              <a:t>Tool rating vs process rating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Tables'!$R$14</c:f>
              <c:strCache>
                <c:ptCount val="1"/>
                <c:pt idx="0">
                  <c:v>Sum of Total Score</c:v>
                </c:pt>
              </c:strCache>
            </c:strRef>
          </c:tx>
          <c:spPr>
            <a:solidFill>
              <a:schemeClr val="accent1"/>
            </a:solidFill>
            <a:ln>
              <a:noFill/>
            </a:ln>
            <a:effectLst/>
          </c:spPr>
          <c:invertIfNegative val="0"/>
          <c:cat>
            <c:strRef>
              <c:f>'Pivot Tables'!$Q$15:$Q$19</c:f>
              <c:strCache>
                <c:ptCount val="4"/>
                <c:pt idx="0">
                  <c:v>4</c:v>
                </c:pt>
                <c:pt idx="1">
                  <c:v>3</c:v>
                </c:pt>
                <c:pt idx="2">
                  <c:v>2</c:v>
                </c:pt>
                <c:pt idx="3">
                  <c:v>1</c:v>
                </c:pt>
              </c:strCache>
            </c:strRef>
          </c:cat>
          <c:val>
            <c:numRef>
              <c:f>'Pivot Tables'!$R$15:$R$19</c:f>
              <c:numCache>
                <c:formatCode>General</c:formatCode>
                <c:ptCount val="4"/>
                <c:pt idx="0">
                  <c:v>1128</c:v>
                </c:pt>
                <c:pt idx="1">
                  <c:v>888</c:v>
                </c:pt>
                <c:pt idx="2">
                  <c:v>14</c:v>
                </c:pt>
                <c:pt idx="3">
                  <c:v>4</c:v>
                </c:pt>
              </c:numCache>
            </c:numRef>
          </c:val>
          <c:extLst>
            <c:ext xmlns:c16="http://schemas.microsoft.com/office/drawing/2014/chart" uri="{C3380CC4-5D6E-409C-BE32-E72D297353CC}">
              <c16:uniqueId val="{00000000-8225-4E3F-BA45-436A318647D9}"/>
            </c:ext>
          </c:extLst>
        </c:ser>
        <c:ser>
          <c:idx val="1"/>
          <c:order val="1"/>
          <c:tx>
            <c:strRef>
              <c:f>'Pivot Tables'!$S$14</c:f>
              <c:strCache>
                <c:ptCount val="1"/>
                <c:pt idx="0">
                  <c:v>Sum of Process score</c:v>
                </c:pt>
              </c:strCache>
            </c:strRef>
          </c:tx>
          <c:spPr>
            <a:solidFill>
              <a:srgbClr val="92D050"/>
            </a:solidFill>
            <a:ln>
              <a:noFill/>
            </a:ln>
            <a:effectLst/>
          </c:spPr>
          <c:invertIfNegative val="0"/>
          <c:cat>
            <c:strRef>
              <c:f>'Pivot Tables'!$Q$15:$Q$19</c:f>
              <c:strCache>
                <c:ptCount val="4"/>
                <c:pt idx="0">
                  <c:v>4</c:v>
                </c:pt>
                <c:pt idx="1">
                  <c:v>3</c:v>
                </c:pt>
                <c:pt idx="2">
                  <c:v>2</c:v>
                </c:pt>
                <c:pt idx="3">
                  <c:v>1</c:v>
                </c:pt>
              </c:strCache>
            </c:strRef>
          </c:cat>
          <c:val>
            <c:numRef>
              <c:f>'Pivot Tables'!$S$15:$S$19</c:f>
              <c:numCache>
                <c:formatCode>General</c:formatCode>
                <c:ptCount val="4"/>
                <c:pt idx="0">
                  <c:v>1040</c:v>
                </c:pt>
                <c:pt idx="1">
                  <c:v>913</c:v>
                </c:pt>
                <c:pt idx="2">
                  <c:v>18</c:v>
                </c:pt>
                <c:pt idx="3">
                  <c:v>6</c:v>
                </c:pt>
              </c:numCache>
            </c:numRef>
          </c:val>
          <c:extLst>
            <c:ext xmlns:c16="http://schemas.microsoft.com/office/drawing/2014/chart" uri="{C3380CC4-5D6E-409C-BE32-E72D297353CC}">
              <c16:uniqueId val="{00000001-8225-4E3F-BA45-436A318647D9}"/>
            </c:ext>
          </c:extLst>
        </c:ser>
        <c:dLbls>
          <c:showLegendKey val="0"/>
          <c:showVal val="0"/>
          <c:showCatName val="0"/>
          <c:showSerName val="0"/>
          <c:showPercent val="0"/>
          <c:showBubbleSize val="0"/>
        </c:dLbls>
        <c:gapWidth val="219"/>
        <c:overlap val="-27"/>
        <c:axId val="543828991"/>
        <c:axId val="543828031"/>
      </c:barChart>
      <c:catAx>
        <c:axId val="543828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828031"/>
        <c:crosses val="autoZero"/>
        <c:auto val="1"/>
        <c:lblAlgn val="ctr"/>
        <c:lblOffset val="100"/>
        <c:noMultiLvlLbl val="0"/>
      </c:catAx>
      <c:valAx>
        <c:axId val="5438280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828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3</xdr:col>
      <xdr:colOff>0</xdr:colOff>
      <xdr:row>21</xdr:row>
      <xdr:rowOff>76200</xdr:rowOff>
    </xdr:to>
    <mc:AlternateContent xmlns:mc="http://schemas.openxmlformats.org/markup-compatibility/2006" xmlns:a14="http://schemas.microsoft.com/office/drawing/2010/main">
      <mc:Choice Requires="a14">
        <xdr:graphicFrame macro="">
          <xdr:nvGraphicFramePr>
            <xdr:cNvPr id="4" name="County 1">
              <a:extLst>
                <a:ext uri="{FF2B5EF4-FFF2-40B4-BE49-F238E27FC236}">
                  <a16:creationId xmlns:a16="http://schemas.microsoft.com/office/drawing/2014/main" id="{8081E1F5-0489-44FF-B6DA-74098DC10767}"/>
                </a:ext>
              </a:extLst>
            </xdr:cNvPr>
            <xdr:cNvGraphicFramePr/>
          </xdr:nvGraphicFramePr>
          <xdr:xfrm>
            <a:off x="0" y="0"/>
            <a:ext cx="0" cy="0"/>
          </xdr:xfrm>
          <a:graphic>
            <a:graphicData uri="http://schemas.microsoft.com/office/drawing/2010/slicer">
              <sle:slicer xmlns:sle="http://schemas.microsoft.com/office/drawing/2010/slicer" name="County 1"/>
            </a:graphicData>
          </a:graphic>
        </xdr:graphicFrame>
      </mc:Choice>
      <mc:Fallback xmlns="">
        <xdr:sp macro="" textlink="">
          <xdr:nvSpPr>
            <xdr:cNvPr id="0" name=""/>
            <xdr:cNvSpPr>
              <a:spLocks noTextEdit="1"/>
            </xdr:cNvSpPr>
          </xdr:nvSpPr>
          <xdr:spPr>
            <a:xfrm>
              <a:off x="0" y="571500"/>
              <a:ext cx="1828800" cy="3505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28573</xdr:colOff>
      <xdr:row>4</xdr:row>
      <xdr:rowOff>47625</xdr:rowOff>
    </xdr:from>
    <xdr:to>
      <xdr:col>18</xdr:col>
      <xdr:colOff>333375</xdr:colOff>
      <xdr:row>7</xdr:row>
      <xdr:rowOff>133350</xdr:rowOff>
    </xdr:to>
    <mc:AlternateContent xmlns:mc="http://schemas.openxmlformats.org/markup-compatibility/2006">
      <mc:Choice xmlns:a14="http://schemas.microsoft.com/office/drawing/2010/main" Requires="a14">
        <xdr:graphicFrame macro="">
          <xdr:nvGraphicFramePr>
            <xdr:cNvPr id="2" name="County">
              <a:extLst>
                <a:ext uri="{FF2B5EF4-FFF2-40B4-BE49-F238E27FC236}">
                  <a16:creationId xmlns:a16="http://schemas.microsoft.com/office/drawing/2014/main" id="{704BEDE0-135C-4172-BBAA-184016A1DADE}"/>
                </a:ext>
              </a:extLst>
            </xdr:cNvPr>
            <xdr:cNvGraphicFramePr/>
          </xdr:nvGraphicFramePr>
          <xdr:xfrm>
            <a:off x="0" y="0"/>
            <a:ext cx="0" cy="0"/>
          </xdr:xfrm>
          <a:graphic>
            <a:graphicData uri="http://schemas.microsoft.com/office/drawing/2010/slicer">
              <sle:slicer xmlns:sle="http://schemas.microsoft.com/office/drawing/2010/slicer" name="County"/>
            </a:graphicData>
          </a:graphic>
        </xdr:graphicFrame>
      </mc:Choice>
      <mc:Fallback>
        <xdr:sp macro="" textlink="">
          <xdr:nvSpPr>
            <xdr:cNvPr id="0" name=""/>
            <xdr:cNvSpPr>
              <a:spLocks noTextEdit="1"/>
            </xdr:cNvSpPr>
          </xdr:nvSpPr>
          <xdr:spPr>
            <a:xfrm>
              <a:off x="640178" y="1230730"/>
              <a:ext cx="11634539" cy="657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20</xdr:row>
      <xdr:rowOff>0</xdr:rowOff>
    </xdr:from>
    <xdr:to>
      <xdr:col>8</xdr:col>
      <xdr:colOff>304800</xdr:colOff>
      <xdr:row>34</xdr:row>
      <xdr:rowOff>76200</xdr:rowOff>
    </xdr:to>
    <xdr:graphicFrame macro="">
      <xdr:nvGraphicFramePr>
        <xdr:cNvPr id="3" name="Chart 2">
          <a:extLst>
            <a:ext uri="{FF2B5EF4-FFF2-40B4-BE49-F238E27FC236}">
              <a16:creationId xmlns:a16="http://schemas.microsoft.com/office/drawing/2014/main" id="{D549A455-37C4-4CF3-92DF-0122FD787A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20</xdr:row>
      <xdr:rowOff>0</xdr:rowOff>
    </xdr:from>
    <xdr:to>
      <xdr:col>17</xdr:col>
      <xdr:colOff>304800</xdr:colOff>
      <xdr:row>34</xdr:row>
      <xdr:rowOff>76200</xdr:rowOff>
    </xdr:to>
    <xdr:graphicFrame macro="">
      <xdr:nvGraphicFramePr>
        <xdr:cNvPr id="5" name="Chart 4">
          <a:extLst>
            <a:ext uri="{FF2B5EF4-FFF2-40B4-BE49-F238E27FC236}">
              <a16:creationId xmlns:a16="http://schemas.microsoft.com/office/drawing/2014/main" id="{72CBB72A-475A-45B4-9383-D6C44D856C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36</xdr:row>
      <xdr:rowOff>0</xdr:rowOff>
    </xdr:from>
    <xdr:to>
      <xdr:col>8</xdr:col>
      <xdr:colOff>304800</xdr:colOff>
      <xdr:row>50</xdr:row>
      <xdr:rowOff>76200</xdr:rowOff>
    </xdr:to>
    <xdr:graphicFrame macro="">
      <xdr:nvGraphicFramePr>
        <xdr:cNvPr id="7" name="Chart 6">
          <a:extLst>
            <a:ext uri="{FF2B5EF4-FFF2-40B4-BE49-F238E27FC236}">
              <a16:creationId xmlns:a16="http://schemas.microsoft.com/office/drawing/2014/main" id="{607C7486-D6D4-4522-A773-AACCFC5962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52</xdr:row>
      <xdr:rowOff>0</xdr:rowOff>
    </xdr:from>
    <xdr:to>
      <xdr:col>8</xdr:col>
      <xdr:colOff>304800</xdr:colOff>
      <xdr:row>66</xdr:row>
      <xdr:rowOff>76200</xdr:rowOff>
    </xdr:to>
    <xdr:graphicFrame macro="">
      <xdr:nvGraphicFramePr>
        <xdr:cNvPr id="8" name="Chart 7">
          <a:extLst>
            <a:ext uri="{FF2B5EF4-FFF2-40B4-BE49-F238E27FC236}">
              <a16:creationId xmlns:a16="http://schemas.microsoft.com/office/drawing/2014/main" id="{F609AF13-C3FB-4894-9BD2-EB8209A78B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0</xdr:colOff>
      <xdr:row>52</xdr:row>
      <xdr:rowOff>0</xdr:rowOff>
    </xdr:from>
    <xdr:to>
      <xdr:col>16</xdr:col>
      <xdr:colOff>561975</xdr:colOff>
      <xdr:row>66</xdr:row>
      <xdr:rowOff>76200</xdr:rowOff>
    </xdr:to>
    <xdr:graphicFrame macro="">
      <xdr:nvGraphicFramePr>
        <xdr:cNvPr id="9" name="Chart 8">
          <a:extLst>
            <a:ext uri="{FF2B5EF4-FFF2-40B4-BE49-F238E27FC236}">
              <a16:creationId xmlns:a16="http://schemas.microsoft.com/office/drawing/2014/main" id="{2B1D5640-1B3C-455E-BC2A-8A3F0EC8F9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06.588766203706" createdVersion="8" refreshedVersion="8" minRefreshableVersion="3" recordCount="589" xr:uid="{EE16338F-79B8-4B6A-8F21-930AD5D590BC}">
  <cacheSource type="worksheet">
    <worksheetSource ref="A1:Q590" sheet="clean data"/>
  </cacheSource>
  <cacheFields count="17">
    <cacheField name="Date" numFmtId="164">
      <sharedItems containsSemiMixedTypes="0" containsNonDate="0" containsDate="1" containsString="0" minDate="2026-06-05T00:00:00" maxDate="2026-06-09T00:00:00"/>
    </cacheField>
    <cacheField name="County" numFmtId="0">
      <sharedItems count="19">
        <s v="KIAMBU"/>
        <s v="KISUMU"/>
        <s v="KAJIADO"/>
        <s v="KAKAMEGA"/>
        <s v="NAIROBI"/>
        <s v="MOMBASA"/>
        <s v="BUNGOMA"/>
        <s v="MACHAKOS"/>
        <s v="UASINGISHU"/>
        <s v="MURANG'A"/>
        <s v="NYERI"/>
        <s v="NAKURU"/>
        <s v="NAIROBI " u="1"/>
        <s v=" NAKURU" u="1"/>
        <s v="  NAKURU" u="1"/>
        <s v=" NA NAKURU" u="1"/>
        <s v="KURU" u="1"/>
        <s v="NANAIROBI" u="1"/>
        <s v="IROBI" u="1"/>
      </sharedItems>
    </cacheField>
    <cacheField name="Region" numFmtId="0">
      <sharedItems count="18">
        <s v="KIAMBU CENTRAL"/>
        <s v="WESTERN  KISUMU"/>
        <s v="KIAMBU WEST"/>
        <s v="KIAMBU EAST"/>
        <s v="NAIROBI WEST"/>
        <s v="WESTERN  KAKAMEGA"/>
        <s v="NAIROBI EAST"/>
        <s v="COAST"/>
        <s v="WESTERN  BUNGOMA"/>
        <s v="WESTERN  UASINGISHU"/>
        <s v="DECENTRALIZED CENTRAL  MURANG'A"/>
        <s v="DECENTRALIZED CENTRAL  NYERI"/>
        <s v="WESTERN   NAKURU"/>
        <s v="WESTERN    NAKURU" u="1"/>
        <s v="WESTERN   NA NAKURU" u="1"/>
        <s v="WESTERN  KURU" u="1"/>
        <s v="IROBI WEST" u="1"/>
        <s v="IROBI EAST" u="1"/>
      </sharedItems>
    </cacheField>
    <cacheField name="Subregion" numFmtId="0">
      <sharedItems containsBlank="1"/>
    </cacheField>
    <cacheField name="School " numFmtId="0">
      <sharedItems/>
    </cacheField>
    <cacheField name="School  Name Length" numFmtId="0">
      <sharedItems containsSemiMixedTypes="0" containsString="0" containsNumber="1" containsInteger="1" minValue="5" maxValue="88"/>
    </cacheField>
    <cacheField name="Please select your role" numFmtId="0">
      <sharedItems count="4">
        <s v="SL/SC"/>
        <s v="Highschool Tapper"/>
        <s v="Server"/>
        <s v="KO"/>
      </sharedItems>
    </cacheField>
    <cacheField name="Which mode of data collection in Kobo did you use?" numFmtId="0">
      <sharedItems count="2">
        <s v="Online (Link)"/>
        <s v="Offline (Used the app)"/>
      </sharedItems>
    </cacheField>
    <cacheField name="How would you rate the overall data collection process?" numFmtId="0">
      <sharedItems count="4">
        <s v="Good"/>
        <s v="Very Good"/>
        <s v="Poor"/>
        <s v="Very Poor"/>
      </sharedItems>
    </cacheField>
    <cacheField name="How would you rate the overall use of the tool?" numFmtId="0">
      <sharedItems/>
    </cacheField>
    <cacheField name="Process score" numFmtId="0">
      <sharedItems containsSemiMixedTypes="0" containsString="0" containsNumber="1" containsInteger="1" minValue="1" maxValue="4" count="4">
        <n v="3"/>
        <n v="4"/>
        <n v="2"/>
        <n v="1"/>
      </sharedItems>
    </cacheField>
    <cacheField name="Total Score" numFmtId="0">
      <sharedItems containsSemiMixedTypes="0" containsString="0" containsNumber="1" containsInteger="1" minValue="1" maxValue="4" count="4">
        <n v="3"/>
        <n v="4"/>
        <n v="2"/>
        <n v="1"/>
      </sharedItems>
    </cacheField>
    <cacheField name="Follow-up Required" numFmtId="0">
      <sharedItems count="2">
        <s v=""/>
        <s v="YES"/>
      </sharedItems>
    </cacheField>
    <cacheField name="What went well?" numFmtId="0">
      <sharedItems longText="1"/>
    </cacheField>
    <cacheField name="What could have been better?" numFmtId="0">
      <sharedItems containsBlank="1" longText="1"/>
    </cacheField>
    <cacheField name="How can we improve?" numFmtId="0">
      <sharedItems containsBlank="1" longText="1"/>
    </cacheField>
    <cacheField name="Any other notes or comments" numFmtId="0">
      <sharedItems containsBlank="1"/>
    </cacheField>
  </cacheFields>
  <extLst>
    <ext xmlns:x14="http://schemas.microsoft.com/office/spreadsheetml/2009/9/main" uri="{725AE2AE-9491-48be-B2B4-4EB974FC3084}">
      <x14:pivotCacheDefinition pivotCacheId="5208103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9">
  <r>
    <d v="2026-06-05T00:00:00"/>
    <x v="0"/>
    <x v="0"/>
    <s v="LIMURU 1"/>
    <s v="NYATARAGI PRIMARY"/>
    <n v="17"/>
    <x v="0"/>
    <x v="0"/>
    <x v="0"/>
    <s v="Good"/>
    <x v="0"/>
    <x v="0"/>
    <x v="0"/>
    <s v="I was able to collect data on time so easily"/>
    <s v="Getting the baseline population"/>
    <m/>
    <m/>
  </r>
  <r>
    <d v="2026-06-05T00:00:00"/>
    <x v="1"/>
    <x v="1"/>
    <s v="KISUMU"/>
    <s v="ST JOHN PAUL KUDHO PRIMARY ECDE AND JUNIOR SECONDARY"/>
    <n v="52"/>
    <x v="0"/>
    <x v="0"/>
    <x v="1"/>
    <s v="Very Good"/>
    <x v="1"/>
    <x v="1"/>
    <x v="0"/>
    <s v="It's very fast"/>
    <m/>
    <s v="We should be given enough time"/>
    <s v="Good work"/>
  </r>
  <r>
    <d v="2026-06-05T00:00:00"/>
    <x v="0"/>
    <x v="2"/>
    <s v="KIKUYU"/>
    <s v="WAMBAA PRIMARY SCHOOL"/>
    <n v="21"/>
    <x v="0"/>
    <x v="0"/>
    <x v="0"/>
    <s v="Good"/>
    <x v="0"/>
    <x v="0"/>
    <x v="0"/>
    <s v="Summation of the total students were done automatically"/>
    <s v="The daily attendance report has been quite tricky to take since not all teachers are ready to cooperateOne day I went to get the attendance and was told attendance is same as yesterday yet the class had alot of empty seats"/>
    <s v="Simple totals section instead of the boys and girls totals"/>
    <m/>
  </r>
  <r>
    <d v="2026-06-05T00:00:00"/>
    <x v="0"/>
    <x v="3"/>
    <s v="KIAMBU"/>
    <s v="KANGOYA PRIMARY AND JUNIOR SCHOOL"/>
    <n v="33"/>
    <x v="0"/>
    <x v="0"/>
    <x v="0"/>
    <s v="Good"/>
    <x v="0"/>
    <x v="0"/>
    <x v="0"/>
    <s v="Great cooperation with the administration"/>
    <s v="High rates of Abesentim really affects the accuracy of the data collected"/>
    <s v="Good relations for accurate data with the administration"/>
    <m/>
  </r>
  <r>
    <d v="2026-06-05T00:00:00"/>
    <x v="0"/>
    <x v="2"/>
    <s v="KIKUYU"/>
    <s v="GIKAMBURA PRIMARY AND JUNIOR SCHOOL"/>
    <n v="35"/>
    <x v="0"/>
    <x v="1"/>
    <x v="0"/>
    <s v="Good"/>
    <x v="0"/>
    <x v="0"/>
    <x v="0"/>
    <s v="Seamless vigation"/>
    <s v="GPS location was challenging"/>
    <m/>
    <m/>
  </r>
  <r>
    <d v="2026-06-05T00:00:00"/>
    <x v="2"/>
    <x v="4"/>
    <s v="KAJIADOm LANGATA"/>
    <s v="NGONG TOWNSHIP COMPREHENSIVE"/>
    <n v="28"/>
    <x v="0"/>
    <x v="0"/>
    <x v="1"/>
    <s v="Very Good"/>
    <x v="1"/>
    <x v="1"/>
    <x v="0"/>
    <s v="Easier to use"/>
    <s v="I like the layoutNo suggestion"/>
    <s v="All is well"/>
    <m/>
  </r>
  <r>
    <d v="2026-06-05T00:00:00"/>
    <x v="0"/>
    <x v="3"/>
    <s v="RUIRUJUJA"/>
    <s v="ATHE PRIMARY AND JUNIOR SECONDARY SCHOOL"/>
    <n v="40"/>
    <x v="0"/>
    <x v="1"/>
    <x v="1"/>
    <s v="Very Good"/>
    <x v="1"/>
    <x v="1"/>
    <x v="0"/>
    <s v="It's easy to use as I just key in the number of kids in every class and it calculate the overall population"/>
    <s v="The app is friendly and easy to use"/>
    <s v="It would be nice if we could receive airtime during the period of data collection and other assignments so as it can be efficient more"/>
    <m/>
  </r>
  <r>
    <d v="2026-06-05T00:00:00"/>
    <x v="0"/>
    <x v="2"/>
    <s v="KABETE"/>
    <s v="RUKUBI COMPREHENSIVE SCHOOL"/>
    <n v="27"/>
    <x v="0"/>
    <x v="1"/>
    <x v="1"/>
    <s v="Very Good"/>
    <x v="1"/>
    <x v="1"/>
    <x v="0"/>
    <s v="It was an easy task"/>
    <s v="Everything was ok on my side"/>
    <s v=" so far"/>
    <m/>
  </r>
  <r>
    <d v="2026-06-05T00:00:00"/>
    <x v="0"/>
    <x v="3"/>
    <s v="RUIRU GITHUNGURI"/>
    <s v="ST GEORGE'S COMPREHENSIVE SCHOOL"/>
    <n v="32"/>
    <x v="0"/>
    <x v="0"/>
    <x v="0"/>
    <s v="Good"/>
    <x v="0"/>
    <x v="0"/>
    <x v="0"/>
    <s v="It was easy to use"/>
    <s v="Ensure smooth transfer where when you send the data it doesn’t take you back to start afresh"/>
    <s v="Ensure smooth running"/>
    <m/>
  </r>
  <r>
    <d v="2026-06-05T00:00:00"/>
    <x v="3"/>
    <x v="5"/>
    <s v="KAKAMEGA"/>
    <s v="MWIYALA COMPREHENSIVE PRIMARY"/>
    <n v="29"/>
    <x v="0"/>
    <x v="1"/>
    <x v="0"/>
    <s v="Good"/>
    <x v="0"/>
    <x v="0"/>
    <x v="0"/>
    <s v="It's fast and more convenient"/>
    <s v="Logging in sometimes is a problem"/>
    <s v="Saving logging in details to avoid going through the whole process again when you want to feed in data"/>
    <m/>
  </r>
  <r>
    <d v="2026-06-05T00:00:00"/>
    <x v="0"/>
    <x v="0"/>
    <s v="LIMURU 1"/>
    <s v="THIGIO PRIMARY SCHOOL"/>
    <n v="21"/>
    <x v="0"/>
    <x v="0"/>
    <x v="0"/>
    <s v="Good"/>
    <x v="0"/>
    <x v="0"/>
    <x v="0"/>
    <s v="It's quite easy to maneuver And one cannot loose data once you leave the site"/>
    <s v="I was uble to access the maps coordites on my phone thus had to use the termil"/>
    <m/>
    <m/>
  </r>
  <r>
    <d v="2026-06-05T00:00:00"/>
    <x v="4"/>
    <x v="6"/>
    <s v="EMBAKASI"/>
    <s v="NCC EMBAKASI COMPREHENSIVE SCHOOL"/>
    <n v="33"/>
    <x v="0"/>
    <x v="1"/>
    <x v="0"/>
    <s v="Good"/>
    <x v="0"/>
    <x v="0"/>
    <x v="0"/>
    <s v="The process of collecting was made easy because the documents were available"/>
    <s v="Co ordition among teachers when collecting the registers"/>
    <s v="Easy acquiring  of the registers"/>
    <m/>
  </r>
  <r>
    <d v="2026-06-05T00:00:00"/>
    <x v="2"/>
    <x v="4"/>
    <s v="KAJIADO LANGATA"/>
    <s v="OLOOLUA COMPREHENSIVE SCHOOL"/>
    <n v="28"/>
    <x v="0"/>
    <x v="0"/>
    <x v="0"/>
    <s v="Very Good"/>
    <x v="0"/>
    <x v="1"/>
    <x v="0"/>
    <s v="Comparing the total daily attendance and the total meals served daily as it is crucial to find the percentage of feeding kids"/>
    <s v="Collection of daily school attendance is challenging as some teachers don't update their registers daily"/>
    <s v="All is good"/>
    <m/>
  </r>
  <r>
    <d v="2026-06-05T00:00:00"/>
    <x v="4"/>
    <x v="6"/>
    <s v="EMBAKASI"/>
    <s v="NAIROBI SOUTH PRIMARY"/>
    <n v="21"/>
    <x v="0"/>
    <x v="0"/>
    <x v="0"/>
    <s v="Good"/>
    <x v="0"/>
    <x v="0"/>
    <x v="0"/>
    <s v="Everything went on well without any hitches experienced"/>
    <m/>
    <m/>
    <m/>
  </r>
  <r>
    <d v="2026-06-05T00:00:00"/>
    <x v="4"/>
    <x v="6"/>
    <s v="KASARANI"/>
    <s v="TOM MBOYA PRIMARY AND JUNIOR SECONDRAY SCHOOL"/>
    <n v="45"/>
    <x v="0"/>
    <x v="0"/>
    <x v="0"/>
    <s v="Good"/>
    <x v="0"/>
    <x v="0"/>
    <x v="0"/>
    <s v="Thwe option for entering just the total beside per class population"/>
    <s v="Excluding the baseline population"/>
    <s v="Exclude the baseline population"/>
    <s v="So far so good"/>
  </r>
  <r>
    <d v="2026-06-05T00:00:00"/>
    <x v="0"/>
    <x v="3"/>
    <s v="RUIRU JUJA"/>
    <s v="ST FRANCIS MUGAI COMPREHENSIVE PRIMARY"/>
    <n v="38"/>
    <x v="0"/>
    <x v="1"/>
    <x v="0"/>
    <s v="Very Good"/>
    <x v="0"/>
    <x v="1"/>
    <x v="0"/>
    <s v="The app was really efficient"/>
    <s v="Collecting the registers some teachers took long to submit"/>
    <s v="An official document highlighting why we need the register could help speed up the process"/>
    <m/>
  </r>
  <r>
    <d v="2026-06-05T00:00:00"/>
    <x v="0"/>
    <x v="0"/>
    <s v="GITHUNGURI 1"/>
    <s v="GATHAITHI SECONDARY SCHOOL"/>
    <n v="26"/>
    <x v="1"/>
    <x v="0"/>
    <x v="0"/>
    <s v="Good"/>
    <x v="0"/>
    <x v="0"/>
    <x v="0"/>
    <s v="I was eble to notice the overall school attendance per day"/>
    <s v="If the population was more"/>
    <s v="Create a site where we could get the percentage of attending students over the school's total population"/>
    <m/>
  </r>
  <r>
    <d v="2026-06-05T00:00:00"/>
    <x v="5"/>
    <x v="7"/>
    <s v="NYALI  MOMBASA"/>
    <s v="BEDZIMBA COMPREHENSIVE SCHOOL"/>
    <n v="29"/>
    <x v="0"/>
    <x v="1"/>
    <x v="0"/>
    <s v="Very Good"/>
    <x v="0"/>
    <x v="1"/>
    <x v="0"/>
    <s v="Data was captured fast but it would save time and accuracy if most of the parts were put in the same page ie categorised into ECD primary and junior school"/>
    <s v="A fewer pages would be great"/>
    <s v="Compile the pages to make them a few like ECD pages primary pageand jss page"/>
    <s v="All went well ✅👏🏿"/>
  </r>
  <r>
    <d v="2026-06-05T00:00:00"/>
    <x v="0"/>
    <x v="2"/>
    <s v="KIKUYU"/>
    <s v="PCEA MAMA NGI KENYATTA COMPREHENSIVE"/>
    <n v="36"/>
    <x v="0"/>
    <x v="1"/>
    <x v="0"/>
    <s v="Good"/>
    <x v="0"/>
    <x v="0"/>
    <x v="0"/>
    <s v="That's a good tracking of the feeding growth"/>
    <s v="For me the head of institution declined to give me population thus requesting for a better communication with the head of institution for a professiol documents to support the population collection"/>
    <s v="In the schools that are declining to give the population then there should be a more conquering documents to request for a population"/>
    <s v="No"/>
  </r>
  <r>
    <d v="2026-06-05T00:00:00"/>
    <x v="5"/>
    <x v="7"/>
    <s v="NYALI  MOMBASA"/>
    <s v="KONGOWEA PRIMARY SCHOOL"/>
    <n v="23"/>
    <x v="0"/>
    <x v="0"/>
    <x v="1"/>
    <s v="Very Good"/>
    <x v="1"/>
    <x v="1"/>
    <x v="0"/>
    <s v="It was so accurate"/>
    <s v="Apart from it being efficient and fast  I don't see any change that will make it more better than it is at the moment"/>
    <s v="Everything is topnotch thank you team"/>
    <s v="All is well"/>
  </r>
  <r>
    <d v="2026-06-05T00:00:00"/>
    <x v="5"/>
    <x v="7"/>
    <s v="NYALI  MOMBASA"/>
    <s v="MTOPANGA COMPREHENSIVE SCHOOL"/>
    <n v="29"/>
    <x v="0"/>
    <x v="1"/>
    <x v="1"/>
    <s v="Very Good"/>
    <x v="1"/>
    <x v="1"/>
    <x v="0"/>
    <s v="Everything went wellthe application is user friendly and the fact that you can save the data and edit before submitting that helps us so much"/>
    <s v="Every thing was better on my side"/>
    <m/>
    <m/>
  </r>
  <r>
    <d v="2026-06-05T00:00:00"/>
    <x v="4"/>
    <x v="6"/>
    <s v="KASARANI"/>
    <s v="CHELETA PRIMARY SCHOOL"/>
    <n v="22"/>
    <x v="0"/>
    <x v="0"/>
    <x v="0"/>
    <s v="Good"/>
    <x v="0"/>
    <x v="0"/>
    <x v="0"/>
    <s v="At some point i could my school location was not picking the latitude the location pick up was the major hinderance"/>
    <s v="App is clear and to the point"/>
    <s v="Enhance quick access for location"/>
    <s v="Good collection tool"/>
  </r>
  <r>
    <d v="2026-06-05T00:00:00"/>
    <x v="4"/>
    <x v="4"/>
    <s v="KIBRAWESTLANDS"/>
    <s v="ARYA PRIMARY SCHOOL"/>
    <n v="19"/>
    <x v="0"/>
    <x v="0"/>
    <x v="1"/>
    <s v="Very Good"/>
    <x v="1"/>
    <x v="1"/>
    <x v="0"/>
    <s v="The process was easy by the help of the kopo data collection tool it was easy because after getting the data from the admin I was only feeding it to the tool"/>
    <s v="Maybe next time you give us more time because sometimes after collecting data you find that there are other students who wants to be admitted in school Maybe next time we should submit data after midterm"/>
    <s v="Add more time to the data collection exercise"/>
    <s v="It was a smooth exercise"/>
  </r>
  <r>
    <d v="2026-06-05T00:00:00"/>
    <x v="5"/>
    <x v="7"/>
    <s v="NYALI  MOMBASA"/>
    <s v="AZHAR SHARRIF COMPREHENSIVE SCHOOL"/>
    <n v="34"/>
    <x v="0"/>
    <x v="0"/>
    <x v="1"/>
    <s v="Very Good"/>
    <x v="1"/>
    <x v="1"/>
    <x v="0"/>
    <s v="the whole process went well"/>
    <m/>
    <s v="Scale fusion is preventing the use of Kobocollect"/>
    <m/>
  </r>
  <r>
    <d v="2026-06-05T00:00:00"/>
    <x v="5"/>
    <x v="7"/>
    <s v="GOME  MOMBASA"/>
    <s v="LONGO PRIMARY SCHOOL"/>
    <n v="20"/>
    <x v="0"/>
    <x v="0"/>
    <x v="0"/>
    <s v="Good"/>
    <x v="0"/>
    <x v="0"/>
    <x v="0"/>
    <s v="Teachers cooperation was of top notch"/>
    <s v="The app had problem in submitting the data"/>
    <s v="Make it better"/>
    <m/>
  </r>
  <r>
    <d v="2026-06-05T00:00:00"/>
    <x v="6"/>
    <x v="8"/>
    <s v="BUNGOMA"/>
    <s v="SIRITANYI RC COMPREHENSIVE SCHOOL"/>
    <n v="33"/>
    <x v="0"/>
    <x v="1"/>
    <x v="1"/>
    <s v="Very Good"/>
    <x v="1"/>
    <x v="1"/>
    <x v="0"/>
    <s v="This round it was sufficient no more searching errors unlike the one we used in first term"/>
    <s v="Transfers of kids coming in and some some getting to other schools"/>
    <s v="It should capture longitude anywhereas long as you are in school compound not necessarily at the gate"/>
    <m/>
  </r>
  <r>
    <d v="2026-06-05T00:00:00"/>
    <x v="0"/>
    <x v="2"/>
    <s v="KIKUYU"/>
    <s v="NGURIUNDITU PRIMARY AND JUNIOR SCHOOL"/>
    <n v="37"/>
    <x v="0"/>
    <x v="0"/>
    <x v="0"/>
    <s v="Good"/>
    <x v="0"/>
    <x v="0"/>
    <x v="0"/>
    <s v="Mine was fastalthough I haven't tried doing it offline"/>
    <s v="It would be better if you asked us the overall number instead of ' number of boys and girls per class'"/>
    <s v="Already said in the previous question"/>
    <s v="Collecting the data daily is not working since we are being asked too much questions and it's becoming hectic  I propose we collect data may be once per month "/>
  </r>
  <r>
    <d v="2026-06-05T00:00:00"/>
    <x v="5"/>
    <x v="7"/>
    <s v="NYALI  MOMBASA"/>
    <s v="MAWENI PRIMARY SCHOOL"/>
    <n v="21"/>
    <x v="0"/>
    <x v="1"/>
    <x v="1"/>
    <s v="Very Good"/>
    <x v="1"/>
    <x v="1"/>
    <x v="0"/>
    <s v="It was easythe location was easy to allocate"/>
    <m/>
    <s v="All was well"/>
    <s v="It easy to operate and easy to understand"/>
  </r>
  <r>
    <d v="2026-06-05T00:00:00"/>
    <x v="0"/>
    <x v="0"/>
    <s v="LIMURU 1"/>
    <s v="TIEKUNU PRIMARY SCHOOL"/>
    <n v="22"/>
    <x v="0"/>
    <x v="1"/>
    <x v="1"/>
    <s v="Good"/>
    <x v="1"/>
    <x v="0"/>
    <x v="0"/>
    <s v="Automatic calculation of numberseasy to use both online and offlinesaves unsent data in drafts to load later"/>
    <s v="Using offline maps since no easy offline from exact location"/>
    <s v="So far so goodits easy to use"/>
    <m/>
  </r>
  <r>
    <d v="2026-06-05T00:00:00"/>
    <x v="1"/>
    <x v="1"/>
    <s v="KISUMU"/>
    <s v="KIBOS PRISON COMPREHENSIVE SCHOOL"/>
    <n v="33"/>
    <x v="0"/>
    <x v="1"/>
    <x v="1"/>
    <s v="Very Good"/>
    <x v="1"/>
    <x v="1"/>
    <x v="0"/>
    <s v="The Kobo app is faster and easier to use since you can still save your work as draft and come back to continue"/>
    <s v="Improve on location pick up the app was a bit slower on picking the GPS"/>
    <s v="No recommendations for now"/>
    <s v="Collection of data has been made more easier compared to previous times were we had to take pictures from registers and scan then send"/>
  </r>
  <r>
    <d v="2026-06-05T00:00:00"/>
    <x v="5"/>
    <x v="7"/>
    <s v="NYALI  MOMBASA"/>
    <s v="KISAUNI PRIMARY SCHOOL"/>
    <n v="22"/>
    <x v="0"/>
    <x v="1"/>
    <x v="0"/>
    <s v="Good"/>
    <x v="0"/>
    <x v="0"/>
    <x v="0"/>
    <s v="Easy to use"/>
    <s v="Accessibility was a bit hard at first"/>
    <m/>
    <m/>
  </r>
  <r>
    <d v="2026-06-05T00:00:00"/>
    <x v="0"/>
    <x v="0"/>
    <s v="GITHUNGURI 2"/>
    <s v="KAMONDO PRIMARY AND JUNIOR SCHOOL"/>
    <n v="33"/>
    <x v="0"/>
    <x v="0"/>
    <x v="1"/>
    <s v="Very Good"/>
    <x v="1"/>
    <x v="1"/>
    <x v="0"/>
    <s v="The link is easier to use compared to the app It provides a more direct process as users can submit the form immediately after completing the required fields without having to save it first before sending"/>
    <m/>
    <m/>
    <s v="No"/>
  </r>
  <r>
    <d v="2026-06-05T00:00:00"/>
    <x v="4"/>
    <x v="4"/>
    <s v="KIBRA WESTLANDS"/>
    <s v="ARYA PRIMARY SCHOOL"/>
    <n v="19"/>
    <x v="0"/>
    <x v="0"/>
    <x v="1"/>
    <s v="Very Good"/>
    <x v="1"/>
    <x v="1"/>
    <x v="0"/>
    <s v="The exercise was easy by the help of the kopo tool"/>
    <s v="It could be even better if u extended the data collection exercise to after midterm so as to capture all the students some get admitted late"/>
    <s v="Add more time to the exercise"/>
    <s v="It was a smooth process"/>
  </r>
  <r>
    <d v="2026-06-05T00:00:00"/>
    <x v="4"/>
    <x v="6"/>
    <s v="KASARANI"/>
    <s v="DANDORA 1 PRIMARY AND JUNIOR SCHOOL"/>
    <n v="35"/>
    <x v="0"/>
    <x v="0"/>
    <x v="2"/>
    <s v="Poor"/>
    <x v="2"/>
    <x v="2"/>
    <x v="1"/>
    <s v="I was able to feed all the population data"/>
    <s v="I worked with the kobo app at first after filling all the detailsand tried to submit I got an error saying form is not active Getting school GPS wasn't easier despite the fact that I was standing right at the school gate I'm not even sure if the coordites sent were accurate After resorting to the online form the major challenge was that I couldn't see what I was selecting as region subregion and school it's best if the wording appear clearly not just some random circles"/>
    <s v="When you update the population collection tool on the app please do us the courtesy of informing us so we can update as required On the attachment allow inclusion of more than 1 file type as well as multiple files I didn't attach the evidence given by the ECDE Mager because there was no way to add it In the list of source of information you left out the ECDE mager yet they are crucial in information provision again allow us to choose more than 1 source of information I persolly feel the GPS locator is so restricting allow us to click and pick from the map if the auto detection feature fails"/>
    <s v="I have  more to share"/>
  </r>
  <r>
    <d v="2026-06-05T00:00:00"/>
    <x v="4"/>
    <x v="4"/>
    <s v="KIBRA WESTLANDS"/>
    <s v="MUTHANGARI PRIMARY SCHOOL"/>
    <n v="25"/>
    <x v="0"/>
    <x v="0"/>
    <x v="1"/>
    <s v="Very Good"/>
    <x v="1"/>
    <x v="1"/>
    <x v="0"/>
    <s v="Population data collection was completed successfully within the set timeline The Kobo tool was easy to use and vigate Data submission was smooth with minimal technical challenges Support from the team was readily available when needed"/>
    <s v="Intermittent internet connectivity affected synchronization in some instances Some respondents required additiol clarification on the data collection requirements A few delays were experienced during data verification"/>
    <s v="Provide refresher training before future data collection exercises Improve communication on timelines and expectations Enhance offline functiolity and synchronization speed Share clear data collection guidelines in advance"/>
    <s v="Thank you for the support throughout the exercise The process was well coordited and provided valuable learning opportunities for future data collection activities"/>
  </r>
  <r>
    <d v="2026-06-05T00:00:00"/>
    <x v="4"/>
    <x v="4"/>
    <s v="DAGORETTI WESTLANDS"/>
    <s v="GITIBA PRIMARY AND ECDE SCHOOL"/>
    <n v="30"/>
    <x v="0"/>
    <x v="0"/>
    <x v="2"/>
    <s v="Good"/>
    <x v="2"/>
    <x v="0"/>
    <x v="1"/>
    <s v="The school administration was very supportive in sharing the population data"/>
    <s v="Kindly provide a letter or document indicating that the request is from Food for Education This makes it easier when presenting it to the school administration as they will clearly understand that it is an official request from F4E"/>
    <s v="Kindly provide a letter or document indicating that the request is from Food for Education This makes it easier when presenting it to the school administration as they will clearly understand that it is an official request from F4E"/>
    <m/>
  </r>
  <r>
    <d v="2026-06-05T00:00:00"/>
    <x v="4"/>
    <x v="6"/>
    <s v="KASARANI"/>
    <s v="DANDORA DAY NURSERY"/>
    <n v="19"/>
    <x v="0"/>
    <x v="0"/>
    <x v="0"/>
    <s v="Good"/>
    <x v="0"/>
    <x v="0"/>
    <x v="0"/>
    <s v="My school being ECDE it's easy to identify who is not feeding and who is"/>
    <s v="Show data for failed taps"/>
    <m/>
    <m/>
  </r>
  <r>
    <d v="2026-06-05T00:00:00"/>
    <x v="0"/>
    <x v="0"/>
    <s v="GITHUNGURI 1"/>
    <s v="MATHANJA PRIMARY SCHOOL"/>
    <n v="23"/>
    <x v="0"/>
    <x v="0"/>
    <x v="1"/>
    <s v="Very Good"/>
    <x v="1"/>
    <x v="1"/>
    <x v="0"/>
    <s v="The fact that the totals were calculated easily"/>
    <s v="Baseline population not all schools keep the records"/>
    <s v="Avoid boys and girls total instead we write the total per class"/>
    <m/>
  </r>
  <r>
    <d v="2026-06-05T00:00:00"/>
    <x v="1"/>
    <x v="1"/>
    <s v="KISUMU"/>
    <s v="KIBUYE MIXED PRIMARY SCHOOL"/>
    <n v="27"/>
    <x v="0"/>
    <x v="0"/>
    <x v="0"/>
    <s v="Good"/>
    <x v="0"/>
    <x v="0"/>
    <x v="0"/>
    <s v="Collecting data per class"/>
    <s v="To improve on efficiency of online link Sometimes it's abit slow"/>
    <s v="To allow app to work offline"/>
    <s v="I appreciate the app it more efficient than link"/>
  </r>
  <r>
    <d v="2026-06-05T00:00:00"/>
    <x v="4"/>
    <x v="4"/>
    <s v="KIBRA WESTLANDS"/>
    <s v="LOWER KABETE PRIMARY SCHOOL"/>
    <n v="27"/>
    <x v="0"/>
    <x v="0"/>
    <x v="0"/>
    <s v="Good"/>
    <x v="0"/>
    <x v="0"/>
    <x v="0"/>
    <s v="Details of the population data that's needed"/>
    <s v="Gps data collection; my phone has never got it  so I do guess I'd suggest this section should be optiol"/>
    <s v="Please let the gps data be optiol and no a must"/>
    <s v="Thank you"/>
  </r>
  <r>
    <d v="2026-06-05T00:00:00"/>
    <x v="4"/>
    <x v="6"/>
    <s v="EMBAKASI"/>
    <s v="MUGUMO DAY NURSERY"/>
    <n v="18"/>
    <x v="0"/>
    <x v="0"/>
    <x v="1"/>
    <s v="Very Good"/>
    <x v="1"/>
    <x v="1"/>
    <x v="0"/>
    <s v="The menu of cowpeas was well received The parents are very supportive with the insufficient accounts being top up after following up the parents"/>
    <s v="The organization is working well from my end with great support from the PDA  KITCHEN MAGER and the staff"/>
    <s v="I will really be greatful if I can get a server"/>
    <s v="The number of kids have stabilized"/>
  </r>
  <r>
    <d v="2026-06-05T00:00:00"/>
    <x v="3"/>
    <x v="5"/>
    <s v="KAKAMEGA"/>
    <s v="MATENDE CG PRIMARY"/>
    <n v="18"/>
    <x v="0"/>
    <x v="1"/>
    <x v="1"/>
    <s v="Very Good"/>
    <x v="1"/>
    <x v="1"/>
    <x v="0"/>
    <s v="The application is user friendly therefore making Data submission easy"/>
    <m/>
    <m/>
    <m/>
  </r>
  <r>
    <d v="2026-06-05T00:00:00"/>
    <x v="0"/>
    <x v="3"/>
    <s v="KIAMBU"/>
    <s v="TING'ANG'A HGM PRIMARY SCHOOL"/>
    <n v="29"/>
    <x v="0"/>
    <x v="0"/>
    <x v="1"/>
    <s v="Very Good"/>
    <x v="1"/>
    <x v="1"/>
    <x v="0"/>
    <s v="The link was was easy to use and input the data"/>
    <s v=" for now"/>
    <s v=" for now"/>
    <m/>
  </r>
  <r>
    <d v="2026-06-05T00:00:00"/>
    <x v="6"/>
    <x v="8"/>
    <s v="BUNGOMA"/>
    <s v="ST PETER'S NDENGELWA RC PRIMARY AND JUNIOR SCHOOL"/>
    <n v="49"/>
    <x v="0"/>
    <x v="1"/>
    <x v="0"/>
    <s v="Very Good"/>
    <x v="0"/>
    <x v="1"/>
    <x v="0"/>
    <s v="Easy to use Data accessible if paused filling and needed to continue later"/>
    <s v="One time password and url After logging in detailsthe app should be leading you direct to the data and not key in url all the time"/>
    <s v="Accessing the tool with the work email and password could be easier and convenient"/>
    <m/>
  </r>
  <r>
    <d v="2026-06-05T00:00:00"/>
    <x v="5"/>
    <x v="7"/>
    <s v="NYALI  MOMBASA"/>
    <s v="KWA BULLO PRIMARY SCHOOL"/>
    <n v="24"/>
    <x v="0"/>
    <x v="0"/>
    <x v="0"/>
    <s v="Very Good"/>
    <x v="0"/>
    <x v="1"/>
    <x v="0"/>
    <s v="The Kobo app is fast and easy for someone to understand The collection grew a great impact to understand the feeding pattern of the kids"/>
    <s v="The data it's not accurate some kids are out while collecting and some teachers they don't allow you in even if they know about the data Daly collection"/>
    <s v="The collection to be done fast week of the month and last week of the month"/>
    <m/>
  </r>
  <r>
    <d v="2026-06-05T00:00:00"/>
    <x v="1"/>
    <x v="1"/>
    <s v="KISUMU"/>
    <s v="KASSAGAM PRIMARY ECDE AND JUNIOR SCHOOL"/>
    <n v="39"/>
    <x v="0"/>
    <x v="1"/>
    <x v="0"/>
    <s v="Very Good"/>
    <x v="0"/>
    <x v="1"/>
    <x v="0"/>
    <s v="The process was smoothit was well simplified"/>
    <s v="Sometimes it's had to do a headcount in classes during lessons timeit interferes with the teaching programme"/>
    <s v="I prefer the use of our population headcount data because it's always accurate as compared to the one given by the school administration"/>
    <m/>
  </r>
  <r>
    <d v="2026-06-05T00:00:00"/>
    <x v="0"/>
    <x v="3"/>
    <s v="RUIRUJUJA"/>
    <s v="GATONGORA COMPREHENSIVE SCHOOL"/>
    <n v="30"/>
    <x v="0"/>
    <x v="1"/>
    <x v="0"/>
    <s v="Very Good"/>
    <x v="0"/>
    <x v="1"/>
    <x v="0"/>
    <s v="The population collection tool is simplified It is easy"/>
    <m/>
    <s v="Allowing us to edit out mistakes even after saving the data"/>
    <m/>
  </r>
  <r>
    <d v="2026-06-05T00:00:00"/>
    <x v="0"/>
    <x v="2"/>
    <s v="KIKUYU"/>
    <s v="LUSIGETTI PRIMARY AND JUNIOR SCHOOL"/>
    <n v="35"/>
    <x v="0"/>
    <x v="0"/>
    <x v="1"/>
    <s v="Very Good"/>
    <x v="1"/>
    <x v="1"/>
    <x v="0"/>
    <s v="It is capturing data well"/>
    <s v="It's working well"/>
    <s v="It's good mode of data collection"/>
    <m/>
  </r>
  <r>
    <d v="2026-06-05T00:00:00"/>
    <x v="3"/>
    <x v="5"/>
    <s v="KAKAMEGA"/>
    <s v="ST BASIL LURAMBI COMPREHENSIVE PRIMARY"/>
    <n v="38"/>
    <x v="0"/>
    <x v="1"/>
    <x v="1"/>
    <s v="Very Good"/>
    <x v="1"/>
    <x v="1"/>
    <x v="0"/>
    <s v="The Kobo connect app is very effective collection and sending of the data was very very easyI didn't encounter any challenges"/>
    <s v="I feel like since we already filled the base year populationthere is no urgency of redoing it over and againIt is hard accessing this record from the school administration"/>
    <s v="I feel like the app is ok continue with the nice work honestlyI am satisfied with it"/>
    <s v="I am more than pleased with the appit is effective and simple to share the data"/>
  </r>
  <r>
    <d v="2026-06-05T00:00:00"/>
    <x v="4"/>
    <x v="4"/>
    <s v="KAJIADO LANGATA"/>
    <s v="LANG'ATA POLICE ECDE CENTRE"/>
    <n v="27"/>
    <x v="0"/>
    <x v="1"/>
    <x v="1"/>
    <s v="Very Good"/>
    <x v="1"/>
    <x v="1"/>
    <x v="0"/>
    <s v="The tool was user friendlyeasy to vigate and ebled efficient data collection"/>
    <s v="I did not encounter any challenges"/>
    <s v="The interface could be made more intuitive for first time users"/>
    <m/>
  </r>
  <r>
    <d v="2026-06-05T00:00:00"/>
    <x v="0"/>
    <x v="3"/>
    <s v="RUIRU JUJA"/>
    <s v="THIKA PRIMARY SCHOOL"/>
    <n v="20"/>
    <x v="0"/>
    <x v="1"/>
    <x v="0"/>
    <s v="Very Good"/>
    <x v="0"/>
    <x v="1"/>
    <x v="0"/>
    <s v="The easy filling of data in kobo"/>
    <s v="Honestlythe tool is vvery okay"/>
    <s v="Give more training on using the same"/>
    <m/>
  </r>
  <r>
    <d v="2026-06-05T00:00:00"/>
    <x v="3"/>
    <x v="5"/>
    <s v="KAKAMEGA"/>
    <s v="FGCK DAISY SPECIAL PRIMARY"/>
    <n v="26"/>
    <x v="0"/>
    <x v="1"/>
    <x v="0"/>
    <s v="Good"/>
    <x v="0"/>
    <x v="0"/>
    <x v="0"/>
    <s v="Swift step by step process with user friendly interface and features"/>
    <s v="The process is swift"/>
    <s v="Check on the upload process since my side can be submitted successfully yet on your end you don't have the data"/>
    <s v="Let's feed the future"/>
  </r>
  <r>
    <d v="2026-06-05T00:00:00"/>
    <x v="0"/>
    <x v="0"/>
    <s v="GITHUNGURI 1"/>
    <s v="KIAWAIGURU PRIMARY SCHOOL"/>
    <n v="25"/>
    <x v="0"/>
    <x v="0"/>
    <x v="0"/>
    <s v="Good"/>
    <x v="0"/>
    <x v="0"/>
    <x v="0"/>
    <s v="It’s fast"/>
    <s v="The part of collecting the location was slow"/>
    <s v="Maybe change or remove the whole last part of asking the school location I found to be so slow yet I was outside and near the school gate I had to try like 3 different times"/>
    <m/>
  </r>
  <r>
    <d v="2026-06-05T00:00:00"/>
    <x v="3"/>
    <x v="5"/>
    <s v="KAKAMEGA"/>
    <s v="AMALEMBA PRIMARY SCHOOL"/>
    <n v="23"/>
    <x v="0"/>
    <x v="1"/>
    <x v="0"/>
    <s v="Good"/>
    <x v="0"/>
    <x v="0"/>
    <x v="0"/>
    <s v="Auto save prevented data loss The tool was user friendly Data entry was fast and friendly"/>
    <s v="Persolly I did not experience any challenge with the the apponce I entered my userme and password everything went smoothly"/>
    <s v="Inform the admin first before we go ahead collecting the data"/>
    <s v="Our supervisor gave us a good demo on how to use the app and everyone completed the exercise"/>
  </r>
  <r>
    <d v="2026-06-05T00:00:00"/>
    <x v="5"/>
    <x v="7"/>
    <s v="NYALI  MOMBASA"/>
    <s v="KHADIJA PRIMARY SCHOOL"/>
    <n v="22"/>
    <x v="0"/>
    <x v="0"/>
    <x v="1"/>
    <s v="Very Good"/>
    <x v="1"/>
    <x v="1"/>
    <x v="0"/>
    <s v="Easier user interface and also you key in data with ease no repetitions"/>
    <s v="Gps location to be obtained from anywhere within the school environment rather than going back to the entrance gate to capture it"/>
    <s v="Improvements on when you have submitted the data if there can be away or a section where one can view the data he or she shared"/>
    <s v="s"/>
  </r>
  <r>
    <d v="2026-06-05T00:00:00"/>
    <x v="5"/>
    <x v="7"/>
    <s v="NYALI  MOMBASA"/>
    <s v="FRERETOWN PRIMARY SCHOOL"/>
    <n v="24"/>
    <x v="0"/>
    <x v="0"/>
    <x v="0"/>
    <s v="Very Good"/>
    <x v="0"/>
    <x v="1"/>
    <x v="0"/>
    <s v="Everything"/>
    <m/>
    <s v="Satisfactory no improvement needed"/>
    <s v="If the baseline population data is available in the F4E servers kindly avail it for me The school administration here does not have have such data available in their records"/>
  </r>
  <r>
    <d v="2026-06-05T00:00:00"/>
    <x v="0"/>
    <x v="3"/>
    <s v="KIAMBU"/>
    <s v="MACIRI COMPREHENSIVE SCHOOL"/>
    <n v="27"/>
    <x v="0"/>
    <x v="0"/>
    <x v="0"/>
    <s v="Good"/>
    <x v="0"/>
    <x v="0"/>
    <x v="0"/>
    <s v="The link was easy to use unlike the app completely failed to upload"/>
    <s v="The app;Having used the app before I prefer the app for me I find it easier and faster to use"/>
    <s v="So far so good"/>
    <s v="Overall it's a great and easy to use"/>
  </r>
  <r>
    <d v="2026-06-05T00:00:00"/>
    <x v="4"/>
    <x v="6"/>
    <s v="EASTLEIGH STAREHE"/>
    <s v="NEW PUMWANI PRIMARY"/>
    <n v="19"/>
    <x v="0"/>
    <x v="0"/>
    <x v="0"/>
    <s v="Very Good"/>
    <x v="0"/>
    <x v="1"/>
    <x v="0"/>
    <s v="It was simple and efficient"/>
    <s v="If a second attempt is made at submission of the data the link should inform you that data is submitted and ask if one would like to make changes to the submitted data"/>
    <s v="When submitting data the link should you to a new page showing the data has been successfully submitted The page just refreshed itself on clicking submit and I found myself having to fill the form again"/>
    <m/>
  </r>
  <r>
    <d v="2026-06-05T00:00:00"/>
    <x v="4"/>
    <x v="6"/>
    <s v="EMBAKASI"/>
    <s v="SIMBA DAY NURSERY"/>
    <n v="17"/>
    <x v="0"/>
    <x v="0"/>
    <x v="1"/>
    <s v="Very Good"/>
    <x v="1"/>
    <x v="1"/>
    <x v="0"/>
    <s v="The administration trusted me with their records"/>
    <s v="More time to convince the administration that our intentions are right with their records"/>
    <s v="When discrepancies exitsbear with us and enough time to do the whole process again"/>
    <s v="It was a good exerciseI am able to know the number of learners not feeding and get the reason behind their action"/>
  </r>
  <r>
    <d v="2026-06-05T00:00:00"/>
    <x v="4"/>
    <x v="4"/>
    <s v="DAGORETTI WESTLANDS"/>
    <s v="KABETE VETLAB COMPREHENSIVE SCHOOL"/>
    <n v="34"/>
    <x v="0"/>
    <x v="0"/>
    <x v="1"/>
    <s v="Very Good"/>
    <x v="1"/>
    <x v="1"/>
    <x v="0"/>
    <s v="It was so easy to vigate"/>
    <m/>
    <m/>
    <m/>
  </r>
  <r>
    <d v="2026-06-05T00:00:00"/>
    <x v="3"/>
    <x v="5"/>
    <s v="KAKAMEGA"/>
    <s v="EBUNG'AYA COMPREHENSIVE PRIMARY"/>
    <n v="31"/>
    <x v="0"/>
    <x v="1"/>
    <x v="0"/>
    <s v="Very Good"/>
    <x v="0"/>
    <x v="1"/>
    <x v="0"/>
    <s v="The headteacher gave me information on timeon time"/>
    <s v="The app was not responding but called my PDA for assistance"/>
    <s v="Before we take school population for the next term let the system be automatically updated that's for kobo tool"/>
    <s v="The process was good and kobo as a tool has make work easier at my end because it has break downs of school population per grade hence giving me upper hand to know I'm feeding these number in a certain grade and the population is these"/>
  </r>
  <r>
    <d v="2026-06-05T00:00:00"/>
    <x v="0"/>
    <x v="2"/>
    <s v="KIKUYU"/>
    <s v="GATAARA COMPREHENSIVE SCHOOL"/>
    <n v="28"/>
    <x v="0"/>
    <x v="0"/>
    <x v="1"/>
    <s v="Good"/>
    <x v="1"/>
    <x v="0"/>
    <x v="0"/>
    <s v="I contacted head count persolly from grade to another and the exercise was awesome coz I interacted one on one with the learners and class teacher this got accurate numbers"/>
    <s v="The exercise kind of caused interruption class timetable coz mostly i contacted the count during class time but wit he help of class teacher"/>
    <s v="Introduce a edit option on the app in case of an error"/>
    <s v="this process  has exposed a giant growth in the school which has been brought up by food for education foundation"/>
  </r>
  <r>
    <d v="2026-06-05T00:00:00"/>
    <x v="0"/>
    <x v="3"/>
    <s v="KIAMBU"/>
    <s v="BENSON NJAU PRIMARY SCHOOL"/>
    <n v="26"/>
    <x v="0"/>
    <x v="0"/>
    <x v="1"/>
    <s v="Very Good"/>
    <x v="1"/>
    <x v="1"/>
    <x v="0"/>
    <s v="I was given all the details required so it was easy to answer the questions"/>
    <s v="The type of questions asked"/>
    <s v="Maybe next time let it have specific questions like if it is a primary school let it not have questions that belongs to secondary schools"/>
    <s v="No other comment"/>
  </r>
  <r>
    <d v="2026-06-05T00:00:00"/>
    <x v="0"/>
    <x v="3"/>
    <s v="RUIRU JUJA"/>
    <s v="KIBOKO COMPREHENSIVE SCHOOL"/>
    <n v="27"/>
    <x v="0"/>
    <x v="1"/>
    <x v="0"/>
    <s v="Very Good"/>
    <x v="0"/>
    <x v="1"/>
    <x v="0"/>
    <s v="Hoi is very supportive whenever I go to collect population dataThe data is precise correct and is given on time whenever she's there"/>
    <s v="My biggest challenge is when the HOI is not in  and the data has to be collected that daythe teacher some times are so relantant and I have to keep checking if they have given their numbers"/>
    <s v="So far I haven't had any major challenge that I can't handle so we are okay "/>
    <s v="Some times I have issues with Kobo the last part where we have to get gps it keeps loading for long what can do about it"/>
  </r>
  <r>
    <d v="2026-06-05T00:00:00"/>
    <x v="0"/>
    <x v="3"/>
    <s v="RUIRU JUJA"/>
    <s v="GENERAL KAGO PRIMARY AND JUNIOR SECONDARY"/>
    <n v="41"/>
    <x v="0"/>
    <x v="1"/>
    <x v="0"/>
    <s v="Very Good"/>
    <x v="0"/>
    <x v="1"/>
    <x v="0"/>
    <s v="The Deputy Head Teacher had collected and documented the school population before hand so feeling the data was very easy"/>
    <s v="The location part when using the link needs improvement because mine refused to fetch the coordites"/>
    <s v="Give bundles because the task uses a lot"/>
    <m/>
  </r>
  <r>
    <d v="2026-06-05T00:00:00"/>
    <x v="0"/>
    <x v="0"/>
    <s v="LIMURU 1"/>
    <s v="RWAMBURI PRIMARY SCHOOL"/>
    <n v="23"/>
    <x v="0"/>
    <x v="1"/>
    <x v="1"/>
    <s v="Very Good"/>
    <x v="1"/>
    <x v="1"/>
    <x v="0"/>
    <s v="The app is easier to access and it is well arranged in any way you used to collect the population"/>
    <s v="I didn't see any problem with the tool"/>
    <s v="I didn't experience any issue while collecting data"/>
    <m/>
  </r>
  <r>
    <d v="2026-06-05T00:00:00"/>
    <x v="5"/>
    <x v="7"/>
    <s v="NYALI  MOMBASA"/>
    <s v="MLALEO PRIMARY SCHOOL"/>
    <n v="21"/>
    <x v="0"/>
    <x v="0"/>
    <x v="0"/>
    <s v="Good"/>
    <x v="0"/>
    <x v="0"/>
    <x v="0"/>
    <s v="Coordites were well captured"/>
    <s v="In future while onboarding new schools baseline population should be captured by us/organisation This will save us from depending on administration for the information in which by the time it may not exist due to various factors"/>
    <s v="Have  for now"/>
    <s v="The work was done accordingly"/>
  </r>
  <r>
    <d v="2026-06-05T00:00:00"/>
    <x v="3"/>
    <x v="5"/>
    <s v="KAKAMEGA"/>
    <s v="MARABA MUNICIPALITY PRIMARY"/>
    <n v="27"/>
    <x v="0"/>
    <x v="1"/>
    <x v="0"/>
    <s v="Very Good"/>
    <x v="0"/>
    <x v="1"/>
    <x v="0"/>
    <s v="The deputy headteacher helped me in collecting the data"/>
    <s v="The school admin and the teachers feel interrupted during their lessons"/>
    <s v="Let the process not demand  a lot of documents eg registers the admin is not willing to give us access to them"/>
    <s v="So far so goodthe program is running well"/>
  </r>
  <r>
    <d v="2026-06-05T00:00:00"/>
    <x v="4"/>
    <x v="4"/>
    <s v="KAJIADO LANGATA"/>
    <s v="MBAGATHI ROAD PRIMARY AND JUNIOR SECONDARY SCHOOL"/>
    <n v="49"/>
    <x v="0"/>
    <x v="0"/>
    <x v="0"/>
    <s v="Good"/>
    <x v="0"/>
    <x v="0"/>
    <x v="0"/>
    <s v="The operation was very smooth"/>
    <s v="Have the lasted data"/>
    <s v="Talk to the HOI to always have updated list"/>
    <m/>
  </r>
  <r>
    <d v="2026-06-05T00:00:00"/>
    <x v="4"/>
    <x v="4"/>
    <s v="DAGORETTI WESTLANDS"/>
    <s v="KABIRIA ROAD PRIMARY AND JUNIOR SECONDARY SCHOOL"/>
    <n v="48"/>
    <x v="0"/>
    <x v="0"/>
    <x v="1"/>
    <s v="Very Good"/>
    <x v="1"/>
    <x v="1"/>
    <x v="0"/>
    <s v="Efficiency and accuracy when collecting data"/>
    <s v="For me it's good and easy to use"/>
    <s v="Non"/>
    <s v="Non"/>
  </r>
  <r>
    <d v="2026-06-05T00:00:00"/>
    <x v="6"/>
    <x v="8"/>
    <s v="BUNGOMA"/>
    <s v="ST ELIZABETH MUYAYI RC"/>
    <n v="22"/>
    <x v="0"/>
    <x v="1"/>
    <x v="1"/>
    <s v="Very Good"/>
    <x v="1"/>
    <x v="1"/>
    <x v="0"/>
    <s v="I gives you an opportunity  to preview the data before sending"/>
    <s v="The app is okay"/>
    <m/>
    <m/>
  </r>
  <r>
    <d v="2026-06-05T00:00:00"/>
    <x v="0"/>
    <x v="0"/>
    <s v="GITHUNGURI 1"/>
    <s v="PCEA GATHAITHI AND JUNIOR SECONDARY SCHOOL"/>
    <n v="42"/>
    <x v="0"/>
    <x v="0"/>
    <x v="1"/>
    <s v="Very Good"/>
    <x v="1"/>
    <x v="1"/>
    <x v="0"/>
    <s v="Kobo is user friendly It is easy to work with"/>
    <s v="I had saved my data as draft but when I tried to find it I couldn't access it I ended up re filling the data"/>
    <s v="Since kobo is user friendly I am okay with it"/>
    <m/>
  </r>
  <r>
    <d v="2026-06-05T00:00:00"/>
    <x v="0"/>
    <x v="0"/>
    <s v="LIMURU 1"/>
    <s v="ST JOHN BOSCO PRIMARY"/>
    <n v="21"/>
    <x v="0"/>
    <x v="0"/>
    <x v="0"/>
    <s v="Good"/>
    <x v="0"/>
    <x v="0"/>
    <x v="0"/>
    <s v="Data collection process was clearTool was easy to use"/>
    <s v="Allow overall population count per class instead of separating boys and girls it consume alot of time "/>
    <s v="Allow us to do an overall class count instead of separating boys and girls It will save time and reduce errors"/>
    <m/>
  </r>
  <r>
    <d v="2026-06-05T00:00:00"/>
    <x v="0"/>
    <x v="0"/>
    <s v="LIMURU 1"/>
    <s v="GATUURA PRIMARY SCHOOL"/>
    <n v="22"/>
    <x v="0"/>
    <x v="0"/>
    <x v="0"/>
    <s v="Good"/>
    <x v="0"/>
    <x v="0"/>
    <x v="0"/>
    <s v="Less typingIe it only involves inputting figures rather than typingmaking it efficient"/>
    <s v="It was sluggish during uploading There was a queue hence one is not sure whether their work is uploaded or not"/>
    <s v="Kindly let the response be prompt To be sure the uploading is correct"/>
    <m/>
  </r>
  <r>
    <d v="2026-06-05T00:00:00"/>
    <x v="0"/>
    <x v="0"/>
    <s v="GITHUNGURI 1"/>
    <s v="GIKANG'A KAGECHE SECONDARY SCHOOL"/>
    <n v="33"/>
    <x v="1"/>
    <x v="0"/>
    <x v="0"/>
    <s v="Good"/>
    <x v="0"/>
    <x v="0"/>
    <x v="0"/>
    <s v="Number of students feeding remaining constant "/>
    <s v="Number of manual deduction still high (kids forgetting tags at home and parents refusing to top up for replacement)High failed taps due vulnerability"/>
    <s v="Sponsorshipintroduce Sponsorship to highschool students Bring fruits to student to make their feeding great"/>
    <m/>
  </r>
  <r>
    <d v="2026-06-05T00:00:00"/>
    <x v="5"/>
    <x v="7"/>
    <s v="NYALI  MOMBASA"/>
    <s v="PENTROSE COMMUNITY PRIMARY SCHOOL"/>
    <n v="33"/>
    <x v="0"/>
    <x v="0"/>
    <x v="1"/>
    <s v="Very Good"/>
    <x v="1"/>
    <x v="1"/>
    <x v="0"/>
    <s v="There was unwaivering support and cooperation from the admin who provided me with the required accurate data"/>
    <s v="For the online link it was taking too long to respond"/>
    <s v=" Everything was smooth and effective"/>
    <s v="Both the app and online link are userfriendly which made the data collection process simple and effecient"/>
  </r>
  <r>
    <d v="2026-06-05T00:00:00"/>
    <x v="0"/>
    <x v="3"/>
    <s v="RUIRUJUJA"/>
    <s v="MUGUMOINI COMPREHENSIVE SCHOOL"/>
    <n v="30"/>
    <x v="0"/>
    <x v="1"/>
    <x v="1"/>
    <s v="Very Good"/>
    <x v="1"/>
    <x v="1"/>
    <x v="0"/>
    <s v="I appreciated being able to see the data before submitting I liked how the steps were clear and in flow"/>
    <s v="For source of information I would prefer being able to choose multiple sources"/>
    <s v="We would appreciate data"/>
    <m/>
  </r>
  <r>
    <d v="2026-06-05T00:00:00"/>
    <x v="5"/>
    <x v="7"/>
    <s v="NYALI  MOMBASA"/>
    <s v="BAMBURI PRIMARY SCHOOL"/>
    <n v="22"/>
    <x v="0"/>
    <x v="1"/>
    <x v="0"/>
    <s v="Good"/>
    <x v="0"/>
    <x v="0"/>
    <x v="0"/>
    <s v="It was the best method of data collection It was the easiest method of data collection"/>
    <s v="Some of the admins didn't have baseline populations so it finds hard to get the baseline population Some of the admins were busy so you have to be patient for a long time so that you can acquire the data"/>
    <s v="Give more time during search an exercise Improve on the tool so that during the log in it should be easier rather than authaendicating everytimee"/>
    <s v="When improved on the tool is the most accurate tool i have ever used"/>
  </r>
  <r>
    <d v="2026-06-05T00:00:00"/>
    <x v="0"/>
    <x v="3"/>
    <s v="RUIRU GITHUNGURI"/>
    <s v="MWIHOKO COMPREHENSIVE SCHOOL"/>
    <n v="28"/>
    <x v="0"/>
    <x v="1"/>
    <x v="0"/>
    <s v="Good"/>
    <x v="0"/>
    <x v="0"/>
    <x v="0"/>
    <s v="Easy to use and understand"/>
    <s v="Some schools do not have the baseline date but each time we take the population it still appears"/>
    <s v="On my part the app was easy to use and made the exercise mageable"/>
    <m/>
  </r>
  <r>
    <d v="2026-06-05T00:00:00"/>
    <x v="0"/>
    <x v="3"/>
    <s v="KIAMBU"/>
    <s v="ACK RIABAI PRIMARY SCHOOL"/>
    <n v="25"/>
    <x v="0"/>
    <x v="0"/>
    <x v="1"/>
    <s v="Very Good"/>
    <x v="1"/>
    <x v="1"/>
    <x v="0"/>
    <s v="It was easily accessible It stored data well without having to retype again"/>
    <s v="I didn't face any challenge with the online link"/>
    <s v="So far so good"/>
    <m/>
  </r>
  <r>
    <d v="2026-06-05T00:00:00"/>
    <x v="3"/>
    <x v="5"/>
    <s v="KAKAMEGA"/>
    <s v="ELUKHO PRIMARY SCHOOL"/>
    <n v="21"/>
    <x v="0"/>
    <x v="1"/>
    <x v="0"/>
    <s v="Good"/>
    <x v="0"/>
    <x v="0"/>
    <x v="0"/>
    <s v="When i went to School Admin (HOI) he cooperated and he asked senior teacher to take class registers and hand over the data in the registers"/>
    <s v="Timeline when i say about timeline it means you gave a short period to collect the data like you find that senior teacher has classes to attend to then taking those registers from every teacher and it needs time so that we don't interfere with her lessons"/>
    <s v="Atleast you should be specific on matters of time atleast give allowance or give more time like two weeks"/>
    <s v="Then when it comes to the app atleast it should showing notification it requires update some core workers went though hard time thank"/>
  </r>
  <r>
    <d v="2026-06-05T00:00:00"/>
    <x v="4"/>
    <x v="6"/>
    <s v="EMBAKASI"/>
    <s v="EDELVALE PRIMARY SCHOOL"/>
    <n v="23"/>
    <x v="0"/>
    <x v="0"/>
    <x v="1"/>
    <s v="Very Good"/>
    <x v="1"/>
    <x v="1"/>
    <x v="0"/>
    <s v="Everything was good"/>
    <m/>
    <s v="It's okay"/>
    <m/>
  </r>
  <r>
    <d v="2026-06-05T00:00:00"/>
    <x v="0"/>
    <x v="3"/>
    <s v="KIAMBU"/>
    <s v="THINDIGUA PRIMARY SCHOOL"/>
    <n v="24"/>
    <x v="0"/>
    <x v="0"/>
    <x v="0"/>
    <s v="Good"/>
    <x v="0"/>
    <x v="0"/>
    <x v="0"/>
    <s v="Accessibility"/>
    <s v="Working on the kobo app for data collection"/>
    <s v="Improve on the kobo app accessibility and effectiveness"/>
    <m/>
  </r>
  <r>
    <d v="2026-06-05T00:00:00"/>
    <x v="4"/>
    <x v="4"/>
    <s v="KAJIADO LANGATA"/>
    <s v="SHADRACK KIMALEL PRIMARY AND JUNIOR SCHOOL"/>
    <n v="42"/>
    <x v="0"/>
    <x v="1"/>
    <x v="1"/>
    <s v="Very Good"/>
    <x v="1"/>
    <x v="1"/>
    <x v="0"/>
    <s v="What went well is that i can use the app when im offline because not all the times i have dataits fastIts easier to use it"/>
    <m/>
    <m/>
    <m/>
  </r>
  <r>
    <d v="2026-06-05T00:00:00"/>
    <x v="4"/>
    <x v="6"/>
    <s v="EMBAKASI"/>
    <s v="TUMAINI PRIMARY AND JUNIOR SCHOOL"/>
    <n v="33"/>
    <x v="0"/>
    <x v="0"/>
    <x v="1"/>
    <s v="Good"/>
    <x v="1"/>
    <x v="0"/>
    <x v="0"/>
    <s v="Everything was smooth I liked the fact that the progress is saved so you don't have to start afresh incase I exit abruptly"/>
    <m/>
    <s v="I don't think any improvement is needed"/>
    <m/>
  </r>
  <r>
    <d v="2026-06-05T00:00:00"/>
    <x v="4"/>
    <x v="4"/>
    <s v="KIBRA WESTLANDS"/>
    <s v="AGA KHAN PRIMARY SCHOOL"/>
    <n v="23"/>
    <x v="0"/>
    <x v="0"/>
    <x v="0"/>
    <s v="Good"/>
    <x v="0"/>
    <x v="0"/>
    <x v="0"/>
    <s v="Well documented"/>
    <s v="Some few challenges when it came to uploading of documents"/>
    <s v="can improve on the process especially uploading of documents"/>
    <m/>
  </r>
  <r>
    <d v="2026-06-05T00:00:00"/>
    <x v="4"/>
    <x v="4"/>
    <s v="KIBRA WESTLANDS"/>
    <s v="RAILA EDUCATIOL CENTRE"/>
    <n v="22"/>
    <x v="0"/>
    <x v="0"/>
    <x v="0"/>
    <s v="Very Good"/>
    <x v="0"/>
    <x v="1"/>
    <x v="0"/>
    <s v="The whole process was easy to understand and fill in"/>
    <s v="Do away with the school coordites May it apply only on a new school that is beginning the program Can include a section where buy we do a survey on how many students at school level are registered under the program"/>
    <s v="I was suggesting that moving forward that under the baseline population of a school you indicated for us the number  That is the previous term population to help us compare the previous term and the current term"/>
    <m/>
  </r>
  <r>
    <d v="2026-06-05T00:00:00"/>
    <x v="0"/>
    <x v="2"/>
    <s v="KIKUYU"/>
    <s v="PCEA THOGOTO PRIMARY AND JUNIOR SCHOOL"/>
    <n v="38"/>
    <x v="0"/>
    <x v="1"/>
    <x v="0"/>
    <s v="Good"/>
    <x v="0"/>
    <x v="0"/>
    <x v="0"/>
    <s v="The form was user friendly It guided"/>
    <s v=" yet"/>
    <s v=" yet"/>
    <m/>
  </r>
  <r>
    <d v="2026-06-05T00:00:00"/>
    <x v="4"/>
    <x v="6"/>
    <s v="EASTLEIGH STAREHE"/>
    <s v="HURUMA PRIMARY AND JUNIOR SECONDARY SCHOOL"/>
    <n v="42"/>
    <x v="0"/>
    <x v="0"/>
    <x v="1"/>
    <s v="Very Good"/>
    <x v="1"/>
    <x v="1"/>
    <x v="0"/>
    <s v="It's very fast and accurate  very easy to use"/>
    <s v="It took a little longer when collecting the longitudes and latitudes"/>
    <s v="May be next time we take the longitudes and latitudes from from the shades"/>
    <s v="It's accuracy is top notch"/>
  </r>
  <r>
    <d v="2026-06-05T00:00:00"/>
    <x v="4"/>
    <x v="4"/>
    <s v="KIBRA WESTLANDS"/>
    <s v="MILIMANI SCHOOL PRIMARY AND JUNIOR SECONDARY SCHOOL"/>
    <n v="51"/>
    <x v="0"/>
    <x v="0"/>
    <x v="1"/>
    <s v="Very Good"/>
    <x v="1"/>
    <x v="1"/>
    <x v="0"/>
    <s v="The link is fast and efficient"/>
    <s v="I feel like the form is perfect the way it is because it's easier to fill"/>
    <s v="I feel the form is perfect the way it is because it's fast"/>
    <m/>
  </r>
  <r>
    <d v="2026-06-05T00:00:00"/>
    <x v="5"/>
    <x v="7"/>
    <s v="NYALI  MOMBASA"/>
    <s v="KENGELENI PRIMARY SCHOOL"/>
    <n v="24"/>
    <x v="0"/>
    <x v="1"/>
    <x v="1"/>
    <s v="Very Good"/>
    <x v="1"/>
    <x v="1"/>
    <x v="0"/>
    <s v="Every step was leading to the next  All went well"/>
    <s v="During submission  it indicated that my file had an error Later on I noticed that I did not download a new form thereafter I was able to submit my findings"/>
    <s v="I didn't not any point of improvement"/>
    <s v="I suggest that the program baseline should be stored online to avoid distortion when new admins assumes office "/>
  </r>
  <r>
    <d v="2026-06-05T00:00:00"/>
    <x v="1"/>
    <x v="1"/>
    <s v="KISUMU"/>
    <s v="KOSAWO PRIMARY ECDE EYE AND JUNIOR SECONDARY SCHOOL"/>
    <n v="51"/>
    <x v="0"/>
    <x v="0"/>
    <x v="1"/>
    <s v="Good"/>
    <x v="1"/>
    <x v="0"/>
    <x v="0"/>
    <s v="The administration was cooperate"/>
    <m/>
    <s v=" everything is okay"/>
    <s v="The Kobo app can be improved to make it more accessible and easier to use"/>
  </r>
  <r>
    <d v="2026-06-05T00:00:00"/>
    <x v="0"/>
    <x v="0"/>
    <s v="LIMURU 1"/>
    <s v="BIBIRIONI PRIMARY SCHOOL"/>
    <n v="24"/>
    <x v="0"/>
    <x v="0"/>
    <x v="1"/>
    <s v="Very Good"/>
    <x v="1"/>
    <x v="1"/>
    <x v="0"/>
    <s v="Data collection was smooth as the admin was cooperative and supportive I was able to cross checked the data given and it was very accurate"/>
    <s v="When browsing for a supportive document maybe you allow CamScanner because I had More than one document which need to be uploaded"/>
    <s v="A feature where we can access the record of the school population since the start of the program now the we have been uploading school population in a termly basis"/>
    <s v="An overall grade attendance when doing daily attendance because recording grade per grade girls and boys takes a lot of time"/>
  </r>
  <r>
    <d v="2026-06-05T00:00:00"/>
    <x v="0"/>
    <x v="2"/>
    <s v="KIKUYU"/>
    <s v="KERWA PRIMARY AND JUNIOR SCHOOL"/>
    <n v="31"/>
    <x v="0"/>
    <x v="0"/>
    <x v="0"/>
    <s v="Good"/>
    <x v="0"/>
    <x v="0"/>
    <x v="0"/>
    <s v=" The data collection was completed within the required timeline The school magement collaborated effectively throughout the exercise"/>
    <s v="Network challenges occasiolly delayed data collection"/>
    <s v="Provide offline data collection guidelines"/>
    <m/>
  </r>
  <r>
    <d v="2026-06-05T00:00:00"/>
    <x v="0"/>
    <x v="0"/>
    <s v="LIMURU 1"/>
    <s v="GITUTHA PRIMARY SCHOOL"/>
    <n v="22"/>
    <x v="0"/>
    <x v="0"/>
    <x v="0"/>
    <s v="Very Good"/>
    <x v="0"/>
    <x v="1"/>
    <x v="0"/>
    <s v="Data even when you are offline the data does not get lost"/>
    <m/>
    <m/>
    <m/>
  </r>
  <r>
    <d v="2026-06-05T00:00:00"/>
    <x v="6"/>
    <x v="8"/>
    <s v="BUNGOMA"/>
    <s v="WEKELEKHA RC SCHOOL"/>
    <n v="19"/>
    <x v="0"/>
    <x v="0"/>
    <x v="0"/>
    <s v="Good"/>
    <x v="0"/>
    <x v="0"/>
    <x v="0"/>
    <s v="Parents understanding the accounts well and how to pay"/>
    <s v="For you and our bosses to work in counties and talk to parents who still have doubt"/>
    <s v="By continuing educating them through there phone  importance of  this feeding"/>
    <s v="Good and much reliable food"/>
  </r>
  <r>
    <d v="2026-06-05T00:00:00"/>
    <x v="4"/>
    <x v="4"/>
    <s v="KIBRA WESTLANDS"/>
    <s v="KILIMANI PRIMARY AND JUNIOR SECONDARY SCHOOL"/>
    <n v="44"/>
    <x v="0"/>
    <x v="0"/>
    <x v="0"/>
    <s v="Good"/>
    <x v="0"/>
    <x v="0"/>
    <x v="0"/>
    <s v="Everything I had no issue"/>
    <m/>
    <s v="For me it's working fine"/>
    <m/>
  </r>
  <r>
    <d v="2026-06-05T00:00:00"/>
    <x v="4"/>
    <x v="4"/>
    <s v="KIBRA WESTLANDS"/>
    <s v="ISLAMIA COMPREHENSIVE PRIMARY"/>
    <n v="29"/>
    <x v="0"/>
    <x v="0"/>
    <x v="1"/>
    <s v="Very Good"/>
    <x v="1"/>
    <x v="1"/>
    <x v="0"/>
    <s v="The collection tool was easier to use than before tool"/>
    <m/>
    <s v="Make use of the app than the link"/>
    <m/>
  </r>
  <r>
    <d v="2026-06-05T00:00:00"/>
    <x v="4"/>
    <x v="4"/>
    <s v="KIBRA WESTLANDS"/>
    <s v="MOI AVENUE PRIMARY SCHOOL"/>
    <n v="25"/>
    <x v="0"/>
    <x v="0"/>
    <x v="0"/>
    <s v="Very Good"/>
    <x v="0"/>
    <x v="1"/>
    <x v="0"/>
    <s v="It's user friendlyEasier to input data"/>
    <m/>
    <m/>
    <m/>
  </r>
  <r>
    <d v="2026-06-05T00:00:00"/>
    <x v="0"/>
    <x v="3"/>
    <s v="RUIRU JUJA"/>
    <s v="JUJA FARM PRIMARY SCHOOL"/>
    <n v="24"/>
    <x v="0"/>
    <x v="0"/>
    <x v="1"/>
    <s v="Very Good"/>
    <x v="1"/>
    <x v="1"/>
    <x v="0"/>
    <s v="Pretty easy to fill and understand"/>
    <s v="It's great as it currently is"/>
    <m/>
    <m/>
  </r>
  <r>
    <d v="2026-06-05T00:00:00"/>
    <x v="0"/>
    <x v="3"/>
    <s v="RUIRU GITHUNGURI"/>
    <s v="KIMBO COMPREHENSIVE SCHOOL"/>
    <n v="26"/>
    <x v="0"/>
    <x v="0"/>
    <x v="0"/>
    <s v="Good"/>
    <x v="0"/>
    <x v="0"/>
    <x v="0"/>
    <s v="The process was smooth with clear instructions"/>
    <m/>
    <m/>
    <m/>
  </r>
  <r>
    <d v="2026-06-05T00:00:00"/>
    <x v="0"/>
    <x v="2"/>
    <s v="KABETE"/>
    <s v="KARURA PRIMARY SCHOOL"/>
    <n v="21"/>
    <x v="0"/>
    <x v="0"/>
    <x v="1"/>
    <s v="Very Good"/>
    <x v="1"/>
    <x v="1"/>
    <x v="0"/>
    <s v="It was clear and understandable also the ability to retrieve unfinished form was superb"/>
    <s v="No challenge encountered"/>
    <m/>
    <m/>
  </r>
  <r>
    <d v="2026-06-05T00:00:00"/>
    <x v="5"/>
    <x v="7"/>
    <s v="GOME  MOMBASA"/>
    <s v="GOME PRIMARY AND JUNIOR SCHOOL"/>
    <n v="30"/>
    <x v="0"/>
    <x v="0"/>
    <x v="1"/>
    <s v="Very Good"/>
    <x v="1"/>
    <x v="1"/>
    <x v="0"/>
    <s v="Data collection was smoothThe tool was easy to use"/>
    <s v="Minor delays experienced during data collection"/>
    <s v="Enhancing user awareness and offer timely support where needed"/>
    <m/>
  </r>
  <r>
    <d v="2026-06-05T00:00:00"/>
    <x v="5"/>
    <x v="7"/>
    <s v="GOME  MOMBASA"/>
    <s v="UMOJA PRIMARY SCHOOL"/>
    <n v="20"/>
    <x v="0"/>
    <x v="1"/>
    <x v="1"/>
    <s v="Very Good"/>
    <x v="1"/>
    <x v="1"/>
    <x v="0"/>
    <s v="Everything went well it was easy to collect the data grade by grade"/>
    <s v="No challenges faced the admin gave maximum support with the activity"/>
    <s v=" it's all good"/>
    <s v="The exercise was successful from my end"/>
  </r>
  <r>
    <d v="2026-06-05T00:00:00"/>
    <x v="4"/>
    <x v="6"/>
    <s v="BIDII ZAWADI REGION"/>
    <s v="HESHIMA PRIMARY SCHOOL"/>
    <n v="22"/>
    <x v="0"/>
    <x v="0"/>
    <x v="1"/>
    <s v="Very Good"/>
    <x v="1"/>
    <x v="1"/>
    <x v="0"/>
    <s v="It was easy to fill in the data of grades respectively"/>
    <s v="Maybe put streams according to each school"/>
    <s v="Adding streams"/>
    <m/>
  </r>
  <r>
    <d v="2026-06-05T00:00:00"/>
    <x v="4"/>
    <x v="4"/>
    <s v="KIBRA WESTLANDS"/>
    <s v="LAVINGTON PRIMARY SCHOOL"/>
    <n v="24"/>
    <x v="0"/>
    <x v="0"/>
    <x v="0"/>
    <s v="Good"/>
    <x v="0"/>
    <x v="0"/>
    <x v="0"/>
    <s v="The system was okey and loading was easy"/>
    <s v="All was well"/>
    <s v="For now on my side i have no complain hence encouraging the company to continue with the good spirit of responsibility quickly to our issues"/>
    <s v="The week has been well and the learners have been happy with the food quality and quantity"/>
  </r>
  <r>
    <d v="2026-06-05T00:00:00"/>
    <x v="4"/>
    <x v="6"/>
    <s v="BIDII ZAWADI REGION"/>
    <s v="BAHATI DAY NURSERY"/>
    <n v="18"/>
    <x v="0"/>
    <x v="0"/>
    <x v="1"/>
    <s v="Very Good"/>
    <x v="1"/>
    <x v="1"/>
    <x v="0"/>
    <s v="It was easy to collect the population"/>
    <m/>
    <m/>
    <m/>
  </r>
  <r>
    <d v="2026-06-05T00:00:00"/>
    <x v="4"/>
    <x v="6"/>
    <s v="KASARANI"/>
    <s v="NJATHAINI PRIMARY AND JUNIOR SCHOOL"/>
    <n v="35"/>
    <x v="0"/>
    <x v="0"/>
    <x v="0"/>
    <s v="Good"/>
    <x v="0"/>
    <x v="0"/>
    <x v="0"/>
    <s v="Easy to use and direct"/>
    <m/>
    <m/>
    <m/>
  </r>
  <r>
    <d v="2026-06-05T00:00:00"/>
    <x v="4"/>
    <x v="6"/>
    <s v="KASARANI"/>
    <s v="KARIOBANGI NORTH PRIMARY AND JUNIOR SCHOOL"/>
    <n v="42"/>
    <x v="0"/>
    <x v="0"/>
    <x v="1"/>
    <s v="Very Good"/>
    <x v="1"/>
    <x v="1"/>
    <x v="0"/>
    <s v="It's smooth and very fast"/>
    <s v="Its becoming hard to get the baseline population"/>
    <s v="Remove the baseline population f"/>
    <m/>
  </r>
  <r>
    <d v="2026-06-05T00:00:00"/>
    <x v="4"/>
    <x v="6"/>
    <s v="BIDII ZAWADI REGION"/>
    <s v="MARTIN LUTHER SCHOOL"/>
    <n v="20"/>
    <x v="0"/>
    <x v="0"/>
    <x v="0"/>
    <s v="Good"/>
    <x v="0"/>
    <x v="0"/>
    <x v="0"/>
    <s v="Fast"/>
    <m/>
    <m/>
    <m/>
  </r>
  <r>
    <d v="2026-06-05T00:00:00"/>
    <x v="0"/>
    <x v="2"/>
    <s v="KABETE"/>
    <s v="MUGUGA PRIMARY AND JUNIOR SCHOOL"/>
    <n v="32"/>
    <x v="0"/>
    <x v="1"/>
    <x v="1"/>
    <s v="Very Good"/>
    <x v="1"/>
    <x v="1"/>
    <x v="0"/>
    <s v="The tool was fast and give room for editing before submitting"/>
    <s v="The data on the classes to be on one page that is for junior separate primary and ECDE instead of every class to prompt you to next"/>
    <s v="The information on The school kitchen region can be automated on your end for instance if I select my email it should pick the region school and any information about the location of the school"/>
    <m/>
  </r>
  <r>
    <d v="2026-06-05T00:00:00"/>
    <x v="4"/>
    <x v="6"/>
    <s v="EMBAKASI"/>
    <s v="NGUNDU PRIMARY SCHOOL"/>
    <n v="21"/>
    <x v="0"/>
    <x v="0"/>
    <x v="0"/>
    <s v="Good"/>
    <x v="0"/>
    <x v="0"/>
    <x v="0"/>
    <s v="If was effective and easy to understand"/>
    <s v="All is okay"/>
    <s v="If the regionssubregions and schoolscan be listed same as the county part"/>
    <m/>
  </r>
  <r>
    <d v="2026-06-05T00:00:00"/>
    <x v="4"/>
    <x v="6"/>
    <s v="KASARANI"/>
    <s v="MUTHAIGA PRIMARY SCHOOL"/>
    <n v="23"/>
    <x v="0"/>
    <x v="0"/>
    <x v="1"/>
    <s v="Very Good"/>
    <x v="1"/>
    <x v="1"/>
    <x v="0"/>
    <s v="That the calculation are automated once you key in the data they automatically give you a total which makes work easier It is also very direct and easy to use"/>
    <s v="It was a little to access the draft in cases where I had nor completed filling the data"/>
    <s v="Once the issue of not accessing draft saved is worked on I think that it will be good since one can access what was previously submitted and edit the mistake rather than fill in a new form"/>
    <m/>
  </r>
  <r>
    <d v="2026-06-05T00:00:00"/>
    <x v="4"/>
    <x v="6"/>
    <s v="EMBAKASI"/>
    <s v="KIFARU COMPREHENSIVE SCHOOL"/>
    <n v="27"/>
    <x v="0"/>
    <x v="0"/>
    <x v="0"/>
    <s v="Very Good"/>
    <x v="0"/>
    <x v="1"/>
    <x v="0"/>
    <s v="The KoboToolbox tool was easy to use and vigate Data submission was fast and reliable The form structure reduced errors during data entryRealtime access to collected data improved tracking and followup"/>
    <s v="Occasiol internet connectivity challenges affected timely submissions Some sections required additiol clarification before data collection A few respondents were uvailable during the first visit leading to followups"/>
    <s v="Provide a brief refresher training before future data collection exercises Share a detailed guide on common issues and troubleshooting Allow adequate time for followups with uvailable respondents"/>
    <s v="The overall experience with KoboToolbox was positive and efficient Thank you for the support and coordition throughout the data collection process"/>
  </r>
  <r>
    <d v="2026-06-05T00:00:00"/>
    <x v="4"/>
    <x v="4"/>
    <s v="KIBRA WESTLANDS"/>
    <s v="MUTHURWA PRIMARY SCHOOL"/>
    <n v="23"/>
    <x v="0"/>
    <x v="0"/>
    <x v="1"/>
    <s v="Very Good"/>
    <x v="1"/>
    <x v="1"/>
    <x v="0"/>
    <s v="Everything went smoothly"/>
    <s v="No challenges"/>
    <s v="No complainkeep up the good job"/>
    <m/>
  </r>
  <r>
    <d v="2026-06-05T00:00:00"/>
    <x v="4"/>
    <x v="4"/>
    <s v="KIBRA WESTLANDS"/>
    <s v="JOSEPH KANG'ETHE PRIMARY AND JUNIOR SCHOOL"/>
    <n v="42"/>
    <x v="0"/>
    <x v="1"/>
    <x v="0"/>
    <s v="Very Good"/>
    <x v="0"/>
    <x v="1"/>
    <x v="0"/>
    <s v="It is easier because It gives calculations automatically there is also no loosing if data which is ok"/>
    <s v="The time limit"/>
    <s v="Maybe let It be given atleast more time mayb 10 minutes"/>
    <m/>
  </r>
  <r>
    <d v="2026-06-05T00:00:00"/>
    <x v="4"/>
    <x v="6"/>
    <s v="EMBAKASI"/>
    <s v="ST DOMINICS PRIMARY SCHOOL"/>
    <n v="26"/>
    <x v="0"/>
    <x v="0"/>
    <x v="0"/>
    <s v="Good"/>
    <x v="0"/>
    <x v="0"/>
    <x v="0"/>
    <s v="Data was provided"/>
    <s v="Prior communication to the admin by either a phone call or through email"/>
    <s v="By calling/emailing the headteachers not only when we need data so as they can feel more involved not only when we vist them but the F4E support team should be making random calls this will make our work more easier as the relationship will improve"/>
    <s v="Thankyou for the support you always offer"/>
  </r>
  <r>
    <d v="2026-06-05T00:00:00"/>
    <x v="4"/>
    <x v="6"/>
    <s v="KASARANI"/>
    <s v="MARARUI PRIMARY SCHOOL"/>
    <n v="22"/>
    <x v="0"/>
    <x v="0"/>
    <x v="0"/>
    <s v="Very Good"/>
    <x v="0"/>
    <x v="1"/>
    <x v="0"/>
    <s v="The app is more reliable and easy to fill in daya"/>
    <s v=" on my end"/>
    <m/>
    <m/>
  </r>
  <r>
    <d v="2026-06-05T00:00:00"/>
    <x v="4"/>
    <x v="6"/>
    <s v="EMBAKASI"/>
    <s v="PLAINSVIEW PRIMARY SCHOOL"/>
    <n v="25"/>
    <x v="0"/>
    <x v="0"/>
    <x v="0"/>
    <s v="Good"/>
    <x v="0"/>
    <x v="0"/>
    <x v="0"/>
    <s v="Teachers were coperating"/>
    <m/>
    <m/>
    <m/>
  </r>
  <r>
    <d v="2026-06-05T00:00:00"/>
    <x v="4"/>
    <x v="6"/>
    <s v="KASARANI"/>
    <s v="USHIRIKA PRIMARY AND JUNIOR SECONDARY SCHOOL"/>
    <n v="44"/>
    <x v="0"/>
    <x v="0"/>
    <x v="0"/>
    <s v="Good"/>
    <x v="0"/>
    <x v="0"/>
    <x v="0"/>
    <s v="I was able to collect and submit the school population data successfully using Kobo The tool was easy to use and the submission process was smooth"/>
    <s v="After submitting the population data I was informed by the PDA the following day that I had entered an incorrect population figure This required a review and correction of the submitted data"/>
    <s v="Introduce an additiol verification step before submission Crosscheck population figures with school records and relevant stakeholders to ensure accuracy Provide timely feedback on submitted data to eble quick corrections where necessary"/>
    <m/>
  </r>
  <r>
    <d v="2026-06-05T00:00:00"/>
    <x v="4"/>
    <x v="6"/>
    <s v="BIDII ZAWADI REGION"/>
    <s v="ST PATRICK'S COMPREHENSIVE SCHOOL"/>
    <n v="33"/>
    <x v="0"/>
    <x v="0"/>
    <x v="0"/>
    <s v="Good"/>
    <x v="0"/>
    <x v="0"/>
    <x v="0"/>
    <s v="It was easy to find my school after selecting the region"/>
    <s v="Adjustment in location"/>
    <s v=" to improve"/>
    <m/>
  </r>
  <r>
    <d v="2026-06-05T00:00:00"/>
    <x v="3"/>
    <x v="5"/>
    <s v="KAKAMEGA"/>
    <s v="ST MATHEWS BUKHULUNYA PRIMARY"/>
    <n v="29"/>
    <x v="0"/>
    <x v="1"/>
    <x v="1"/>
    <s v="Very Good"/>
    <x v="1"/>
    <x v="1"/>
    <x v="0"/>
    <s v="The filling process is userfriendly and organized"/>
    <s v="The stage that requires GPS at the gate for fil submission"/>
    <s v="Automation of GPS location using termil location"/>
    <s v="Better our best!"/>
  </r>
  <r>
    <d v="2026-06-05T00:00:00"/>
    <x v="4"/>
    <x v="6"/>
    <s v="KASARANI"/>
    <s v="MATHARE NORTH PRIMARY"/>
    <n v="21"/>
    <x v="0"/>
    <x v="0"/>
    <x v="1"/>
    <s v="Very Good"/>
    <x v="1"/>
    <x v="1"/>
    <x v="0"/>
    <s v="The summation and geo location is automatic"/>
    <s v="I didn't experience any challenges on my end"/>
    <s v="All good on my end"/>
    <m/>
  </r>
  <r>
    <d v="2026-06-05T00:00:00"/>
    <x v="4"/>
    <x v="6"/>
    <s v="KASARANI"/>
    <s v="GARDEN ESTATE PRIMARY SCHOOL"/>
    <n v="28"/>
    <x v="0"/>
    <x v="0"/>
    <x v="0"/>
    <s v="Good"/>
    <x v="0"/>
    <x v="0"/>
    <x v="0"/>
    <s v="The admin will always provide the data I don't think they can say no"/>
    <s v="Baseline data it repetitive we keep filling them all the time you should save them"/>
    <s v="Improve on saving the data For future reference"/>
    <m/>
  </r>
  <r>
    <d v="2026-06-05T00:00:00"/>
    <x v="4"/>
    <x v="6"/>
    <s v="KASARANI"/>
    <s v="DANIEL COMBONI PRIMARY AND JUNIOR SECONDARY SCHOOL"/>
    <n v="50"/>
    <x v="0"/>
    <x v="0"/>
    <x v="0"/>
    <s v="Very Good"/>
    <x v="0"/>
    <x v="1"/>
    <x v="0"/>
    <s v="It was auto tallying the totals as you enter thus giving the correct totals"/>
    <m/>
    <s v="For me the app is okay"/>
    <m/>
  </r>
  <r>
    <d v="2026-06-05T00:00:00"/>
    <x v="0"/>
    <x v="2"/>
    <s v="KIAMBAA"/>
    <s v="NJENGA KARUME COMPREHENSIVE SCHOOL"/>
    <n v="34"/>
    <x v="0"/>
    <x v="0"/>
    <x v="0"/>
    <s v="Good"/>
    <x v="0"/>
    <x v="0"/>
    <x v="0"/>
    <s v="Automatic dial in for individual classes and gender makes it user friendly and it's hard to entangle data"/>
    <s v="Okayon the ecde and playgroup partmost schools have ecde but no play group but on kobold they are both under the same category so one has to input zeros on ecdeyou guyz should separate them"/>
    <m/>
    <m/>
  </r>
  <r>
    <d v="2026-06-05T00:00:00"/>
    <x v="4"/>
    <x v="4"/>
    <s v="DAGORETTI WESTLANDS"/>
    <s v="KIRIGU PRIMARY AND JUNIOR SCHOOL"/>
    <n v="32"/>
    <x v="0"/>
    <x v="0"/>
    <x v="1"/>
    <s v="Very Good"/>
    <x v="1"/>
    <x v="1"/>
    <x v="0"/>
    <s v="Data collection process was easier because the administration was willing to give data neededAlso during of data I didn't encounter any challenge"/>
    <m/>
    <m/>
    <m/>
  </r>
  <r>
    <d v="2026-06-05T00:00:00"/>
    <x v="5"/>
    <x v="7"/>
    <s v="GOME  MOMBASA"/>
    <s v="ST CHARLES LWANGA COMPREHENSIVE SCHOOL"/>
    <n v="38"/>
    <x v="0"/>
    <x v="1"/>
    <x v="0"/>
    <s v="Very Good"/>
    <x v="0"/>
    <x v="1"/>
    <x v="0"/>
    <s v="For data collection(school population)it was easy to collect since the HOI was readily available and the term two enrollment was already updated"/>
    <s v="It was difficult for the administration to know where they'd kept the baseline data and this looked liked I was giving them headache"/>
    <s v="I think it'll be better if we'll be collecting this data only once per year either first term or third term"/>
    <m/>
  </r>
  <r>
    <d v="2026-06-05T00:00:00"/>
    <x v="4"/>
    <x v="6"/>
    <s v="KASARANI"/>
    <s v="THIKA ROAD PRIMARY AND JUNIOR SECONDARY SCHOOL"/>
    <n v="46"/>
    <x v="0"/>
    <x v="0"/>
    <x v="1"/>
    <s v="Good"/>
    <x v="1"/>
    <x v="0"/>
    <x v="0"/>
    <s v="The feeding of information into the tool was easy due to the user friendly interface"/>
    <s v="The displaying of specific schools region and sub region by mes in the options sectionby their mes"/>
    <s v="We may improve on delayed response when operating the website and clearly displaying the specific regionsubregion and school of the respective subregions"/>
    <m/>
  </r>
  <r>
    <d v="2026-06-05T00:00:00"/>
    <x v="4"/>
    <x v="6"/>
    <s v="BIDII ZAWADI REGION"/>
    <s v="BIDII PRIMARY SCHOOL"/>
    <n v="20"/>
    <x v="0"/>
    <x v="0"/>
    <x v="0"/>
    <s v="Good"/>
    <x v="0"/>
    <x v="0"/>
    <x v="0"/>
    <s v="The fact that is well explatory and easy to fill"/>
    <s v="I had challenges while submitting it was indicating &quot;Canceled by user&quot; &quot;so I had to keep on retrying"/>
    <s v="Kindly make submission process to be smooth and quick"/>
    <m/>
  </r>
  <r>
    <d v="2026-06-05T00:00:00"/>
    <x v="5"/>
    <x v="7"/>
    <s v="GOME  MOMBASA"/>
    <s v="VIJIWENI JUNIOR SCHOOL"/>
    <n v="22"/>
    <x v="0"/>
    <x v="0"/>
    <x v="0"/>
    <s v="Good"/>
    <x v="0"/>
    <x v="0"/>
    <x v="0"/>
    <s v="Data was uploaded successful"/>
    <s v="Getting data of baseline since HOI was not sure with what and where the data was going to be used"/>
    <s v="The dorm was just standard"/>
    <s v="Work on the app to make work easier next timeThe app wasn't functioning"/>
  </r>
  <r>
    <d v="2026-06-05T00:00:00"/>
    <x v="4"/>
    <x v="6"/>
    <s v="BIDII ZAWADI REGION"/>
    <s v="DR KRAPF PRIMARY SCHOOL AND JUNIOR SCHOOL"/>
    <n v="41"/>
    <x v="0"/>
    <x v="0"/>
    <x v="1"/>
    <s v="Very Good"/>
    <x v="1"/>
    <x v="1"/>
    <x v="0"/>
    <s v="The online link loaded incredible faster"/>
    <s v="The process ran smoothly faster with no major challenges encountered"/>
    <m/>
    <m/>
  </r>
  <r>
    <d v="2026-06-05T00:00:00"/>
    <x v="4"/>
    <x v="6"/>
    <s v="BIDII ZAWADI REGION"/>
    <s v="RABAI ROAD PRIMARY"/>
    <n v="18"/>
    <x v="0"/>
    <x v="0"/>
    <x v="0"/>
    <s v="Good"/>
    <x v="0"/>
    <x v="0"/>
    <x v="0"/>
    <s v="The data collection  went smoothly and  efficiently The online  link wasceasy to access and form vigation was straight forward  and data captured  without  any loss"/>
    <s v="Administration  providing the  data as they feel insecure  and think that  our organisations  will provide the data to the government  so they give a higher  population"/>
    <s v="We can improve  this   by assuring the  administration  that the data is for  own  use"/>
    <s v="Overall the exercise was successful The online link mode worked well for this context and can be recommended for future data collection activities"/>
  </r>
  <r>
    <d v="2026-06-05T00:00:00"/>
    <x v="4"/>
    <x v="4"/>
    <s v="KIBRA WESTLANDS"/>
    <s v="KILELESHWA PRIMARY AND JUNIOR SECONDARY SCHOOL"/>
    <n v="46"/>
    <x v="0"/>
    <x v="0"/>
    <x v="0"/>
    <s v="Good"/>
    <x v="0"/>
    <x v="0"/>
    <x v="0"/>
    <s v="It was seamless"/>
    <s v="I did not face any challenges"/>
    <s v="The process was much okay"/>
    <m/>
  </r>
  <r>
    <d v="2026-06-05T00:00:00"/>
    <x v="4"/>
    <x v="4"/>
    <s v="KIBRA WESTLANDS"/>
    <s v="FARASI LANE PRIMARY AND JUNIOR SECONDARY SCHOOL"/>
    <n v="47"/>
    <x v="0"/>
    <x v="0"/>
    <x v="0"/>
    <s v="Very Good"/>
    <x v="0"/>
    <x v="1"/>
    <x v="0"/>
    <s v="The data was easy to collect from the headteacher"/>
    <s v="The data acquired has no ECDE informationit was separatedit would be better if we had two entries to capture the both records"/>
    <s v="To add two entries of a document needed to showcase the data"/>
    <s v="The kobo is efficient"/>
  </r>
  <r>
    <d v="2026-06-05T00:00:00"/>
    <x v="4"/>
    <x v="6"/>
    <s v="BIDIIZAWADI REGION"/>
    <s v="NJORO DAY NURSERY"/>
    <n v="17"/>
    <x v="0"/>
    <x v="0"/>
    <x v="1"/>
    <s v="Good"/>
    <x v="1"/>
    <x v="0"/>
    <x v="0"/>
    <s v="The data collection"/>
    <m/>
    <s v="By the help of Ecd mager"/>
    <m/>
  </r>
  <r>
    <d v="2026-06-05T00:00:00"/>
    <x v="0"/>
    <x v="2"/>
    <s v="KIKUYU"/>
    <s v="THIRIME PRIMARY AND JUNIOR SCHOOL"/>
    <n v="33"/>
    <x v="0"/>
    <x v="0"/>
    <x v="0"/>
    <s v="Good"/>
    <x v="0"/>
    <x v="0"/>
    <x v="0"/>
    <s v="It's easy to usesaves the informationdoes automatic calculation"/>
    <s v="Require wifi/data to function"/>
    <s v="Could we explore more offline accessibility?"/>
    <m/>
  </r>
  <r>
    <d v="2026-06-05T00:00:00"/>
    <x v="4"/>
    <x v="6"/>
    <s v="EMBAKASI"/>
    <s v="HIGHWAY MANYATTA PRIMARY SCHOOL"/>
    <n v="31"/>
    <x v="0"/>
    <x v="0"/>
    <x v="0"/>
    <s v="Very Good"/>
    <x v="0"/>
    <x v="1"/>
    <x v="0"/>
    <s v="Easy to fill because it requires less writing thus less time consumed  Has formulas  that populate the total population  therefore easy to identify  math errors"/>
    <s v="No challenges"/>
    <s v="Include a room for streams for schools with different streams"/>
    <m/>
  </r>
  <r>
    <d v="2026-06-05T00:00:00"/>
    <x v="4"/>
    <x v="6"/>
    <s v="EASTLEIGHSTAREHE"/>
    <s v="DAIMA PRIMARY AND JUNIOR SECONDARY SCHOOL"/>
    <n v="41"/>
    <x v="0"/>
    <x v="0"/>
    <x v="3"/>
    <s v="Very Poor"/>
    <x v="3"/>
    <x v="3"/>
    <x v="1"/>
    <s v="Ease to use No delays when launching the link"/>
    <s v="My data went missing and I could not redo if for it indicated that the data exists"/>
    <m/>
    <m/>
  </r>
  <r>
    <d v="2026-06-05T00:00:00"/>
    <x v="4"/>
    <x v="4"/>
    <s v="KIBRAWESTLANDS"/>
    <s v="CENTRAL DAY NURSERY"/>
    <n v="19"/>
    <x v="0"/>
    <x v="0"/>
    <x v="1"/>
    <s v="Very Good"/>
    <x v="1"/>
    <x v="1"/>
    <x v="0"/>
    <s v="The pop ups suggestions eble faster filling of the form making work easier"/>
    <s v="I experienced no challenge"/>
    <s v="Everything is okay"/>
    <m/>
  </r>
  <r>
    <d v="2026-06-05T00:00:00"/>
    <x v="4"/>
    <x v="6"/>
    <s v="EMBAKASI"/>
    <s v="DONHOLM COMPREHENSIVE SCHOOL"/>
    <n v="28"/>
    <x v="0"/>
    <x v="0"/>
    <x v="1"/>
    <s v="Very Good"/>
    <x v="1"/>
    <x v="1"/>
    <x v="0"/>
    <s v="The process was smooth since it guides one step by step"/>
    <s v="I find it ok the way it is"/>
    <s v="For now I find it ok"/>
    <s v="Easy method of data collection"/>
  </r>
  <r>
    <d v="2026-06-05T00:00:00"/>
    <x v="4"/>
    <x v="6"/>
    <s v="EMBAKASI"/>
    <s v="TREESIDE SPECIAL SCHOOL"/>
    <n v="23"/>
    <x v="0"/>
    <x v="0"/>
    <x v="0"/>
    <s v="Good"/>
    <x v="0"/>
    <x v="0"/>
    <x v="0"/>
    <s v="Happy that the head of institution provides me with the information needed"/>
    <s v="I encountered no challenges"/>
    <s v="Population to be taken yearly"/>
    <m/>
  </r>
  <r>
    <d v="2026-06-05T00:00:00"/>
    <x v="4"/>
    <x v="6"/>
    <s v="EASTLEIGHSTAREHE"/>
    <s v="PARKLANDS DAY NURSERY"/>
    <n v="21"/>
    <x v="0"/>
    <x v="0"/>
    <x v="0"/>
    <s v="Good"/>
    <x v="0"/>
    <x v="0"/>
    <x v="0"/>
    <s v="Generally there is a population increase of pupils in school"/>
    <s v="Send the link earlier to eble proper collection of data"/>
    <m/>
    <m/>
  </r>
  <r>
    <d v="2026-06-05T00:00:00"/>
    <x v="4"/>
    <x v="6"/>
    <s v="EMBAKASI"/>
    <s v="PETER KIBUKOSYA PRIMARY AND JUNIOR SCHOOL"/>
    <n v="41"/>
    <x v="0"/>
    <x v="0"/>
    <x v="1"/>
    <s v="Very Good"/>
    <x v="1"/>
    <x v="1"/>
    <x v="0"/>
    <s v="The collection of the data was good because the school had it already"/>
    <s v="The app was challenging to use I had to use the link instead"/>
    <m/>
    <m/>
  </r>
  <r>
    <d v="2026-06-05T00:00:00"/>
    <x v="4"/>
    <x v="6"/>
    <s v="BIDIIZAWADI REGION"/>
    <s v="NILE ROAD SPECIAL SCHOOL"/>
    <n v="24"/>
    <x v="0"/>
    <x v="0"/>
    <x v="1"/>
    <s v="Very Good"/>
    <x v="1"/>
    <x v="1"/>
    <x v="0"/>
    <s v="I was able to get the number of boys and girls directly from teachers as per their registers The total population i got matched with the number than is in the school administration The teachers and the school admin were very supportive"/>
    <m/>
    <m/>
    <s v="In my school popolation keeps on changing any time of the term not neccessarilly  the first weeks alone They can be admitted at any time or students can opt out anytime"/>
  </r>
  <r>
    <d v="2026-06-05T00:00:00"/>
    <x v="4"/>
    <x v="6"/>
    <s v="BIDIIZAWADI REGION"/>
    <s v="ST JOHN PRIMARY SCHOOL"/>
    <n v="22"/>
    <x v="0"/>
    <x v="0"/>
    <x v="0"/>
    <s v="Very Good"/>
    <x v="0"/>
    <x v="1"/>
    <x v="0"/>
    <s v="The tool is easy to use whether one is using the link or app"/>
    <s v="Havent had any challenge yet"/>
    <m/>
    <m/>
  </r>
  <r>
    <d v="2026-06-05T00:00:00"/>
    <x v="4"/>
    <x v="6"/>
    <s v="KASARANI"/>
    <s v="HEIDEMARIE MATHARE 4A COMPREHENSIVE SCHOOL"/>
    <n v="42"/>
    <x v="0"/>
    <x v="0"/>
    <x v="1"/>
    <s v="Very Good"/>
    <x v="1"/>
    <x v="1"/>
    <x v="0"/>
    <s v="Data entry was well acquired at the app"/>
    <s v="Everything was good well experience"/>
    <m/>
    <m/>
  </r>
  <r>
    <d v="2026-06-05T00:00:00"/>
    <x v="4"/>
    <x v="6"/>
    <s v="KASARANI"/>
    <s v="KAHAWA PRIMARY SCHOOL"/>
    <n v="21"/>
    <x v="0"/>
    <x v="0"/>
    <x v="0"/>
    <s v="Good"/>
    <x v="0"/>
    <x v="0"/>
    <x v="0"/>
    <s v="It was well organised and easy to interpret"/>
    <m/>
    <s v="Baseline population data should already be engraved in the toolbox"/>
    <m/>
  </r>
  <r>
    <d v="2026-06-05T00:00:00"/>
    <x v="4"/>
    <x v="6"/>
    <s v="EASTLEIGHSTAREHE"/>
    <s v="PUMWANI PRIMARY SCHOOL"/>
    <n v="22"/>
    <x v="0"/>
    <x v="0"/>
    <x v="1"/>
    <s v="Very Good"/>
    <x v="1"/>
    <x v="1"/>
    <x v="0"/>
    <s v="The process was smoothno hitches"/>
    <s v="Explain further what baseline population means"/>
    <s v="Explain further what baseline population means"/>
    <m/>
  </r>
  <r>
    <d v="2026-06-05T00:00:00"/>
    <x v="4"/>
    <x v="6"/>
    <s v="EASTLEIGHSTAREHE"/>
    <s v="RIVERBANK PRIMARY SCHOOL"/>
    <n v="24"/>
    <x v="0"/>
    <x v="0"/>
    <x v="1"/>
    <s v="Very Good"/>
    <x v="1"/>
    <x v="1"/>
    <x v="0"/>
    <s v="The accuracy and the process is fast"/>
    <s v=" for now it's the best"/>
    <s v="Add offline functiolity"/>
    <m/>
  </r>
  <r>
    <d v="2026-06-05T00:00:00"/>
    <x v="4"/>
    <x v="4"/>
    <s v="KIBRAWESTLANDS"/>
    <s v="STATE HOUSE PRIMARY SCHOOL"/>
    <n v="26"/>
    <x v="0"/>
    <x v="0"/>
    <x v="1"/>
    <s v="Very Good"/>
    <x v="1"/>
    <x v="1"/>
    <x v="0"/>
    <s v="The tool is easy to use"/>
    <s v="Everything was well"/>
    <m/>
    <m/>
  </r>
  <r>
    <d v="2026-06-05T00:00:00"/>
    <x v="4"/>
    <x v="4"/>
    <s v="DAGORETTIWESTLANDS"/>
    <s v="KIHUMBUINI PRIMARY AND JUNIOR SECONDARY SCHOOL"/>
    <n v="46"/>
    <x v="0"/>
    <x v="0"/>
    <x v="0"/>
    <s v="Good"/>
    <x v="0"/>
    <x v="0"/>
    <x v="0"/>
    <s v="The data collected brought more insight on how many more students should be enrolled and activated to the program"/>
    <s v="The time it took to get the data was too much Sometimes getting the data fast leads to getting iccurate information"/>
    <s v="We can improve by talking to the schools and telling them on the importance of us getting this data This will reduce the time taken to get the data"/>
    <m/>
  </r>
  <r>
    <d v="2026-06-05T00:00:00"/>
    <x v="4"/>
    <x v="6"/>
    <s v="KASARANI"/>
    <s v="DRIVE IN PRIMARY AND JUNIOR SECONDARY SCHOOL"/>
    <n v="44"/>
    <x v="0"/>
    <x v="0"/>
    <x v="1"/>
    <s v="Very Good"/>
    <x v="1"/>
    <x v="1"/>
    <x v="0"/>
    <s v="Data collection covered every aspect needed"/>
    <s v="Everything was on point"/>
    <m/>
    <m/>
  </r>
  <r>
    <d v="2026-06-05T00:00:00"/>
    <x v="4"/>
    <x v="6"/>
    <s v="KASARANI"/>
    <s v="JAMES GICHURU PRIMARY AND JUNIOR SECONDARY SCHOOL"/>
    <n v="49"/>
    <x v="0"/>
    <x v="0"/>
    <x v="0"/>
    <s v="Good"/>
    <x v="0"/>
    <x v="0"/>
    <x v="0"/>
    <s v="Getting the fil figure"/>
    <s v="Data collection team getting intoch with our school administration for fil figures to be readily available"/>
    <s v="Adequate follow up and communication between data collection team and the school administration should be maintained so that the school lead can easily aquire the information"/>
    <m/>
  </r>
  <r>
    <d v="2026-06-05T00:00:00"/>
    <x v="0"/>
    <x v="2"/>
    <s v="KABETE"/>
    <s v="NYATHU COMPREHENSIVE SCHOOL"/>
    <n v="27"/>
    <x v="0"/>
    <x v="1"/>
    <x v="1"/>
    <s v="Very Good"/>
    <x v="1"/>
    <x v="1"/>
    <x v="0"/>
    <s v="Thanks to secretary she gave me information on timel was able to have information on timeto"/>
    <s v="I challenge l face l was told school population is privatethey are not supposed to give outl explained and he agree to give me information"/>
    <s v="When collect data population ta be given enough time that will we eble to collect a correct information"/>
    <m/>
  </r>
  <r>
    <d v="2026-06-05T00:00:00"/>
    <x v="0"/>
    <x v="0"/>
    <s v="LARI"/>
    <s v="KIRENGA BOYS TECH HIGH SCHOOL"/>
    <n v="29"/>
    <x v="1"/>
    <x v="1"/>
    <x v="0"/>
    <s v="Good"/>
    <x v="0"/>
    <x v="0"/>
    <x v="0"/>
    <s v="The platform ebled real time data collection which is really nice"/>
    <s v="Better training on it  Especially with those having challenges"/>
    <s v="More trainings"/>
    <m/>
  </r>
  <r>
    <d v="2026-06-05T00:00:00"/>
    <x v="4"/>
    <x v="6"/>
    <s v="EMBAKASI"/>
    <s v="KAMULU DAY NURSERY"/>
    <n v="18"/>
    <x v="0"/>
    <x v="0"/>
    <x v="1"/>
    <s v="Very Good"/>
    <x v="1"/>
    <x v="1"/>
    <x v="0"/>
    <s v="All was good"/>
    <s v="No challenges"/>
    <m/>
    <m/>
  </r>
  <r>
    <d v="2026-06-05T00:00:00"/>
    <x v="4"/>
    <x v="6"/>
    <s v="EMBAKASI"/>
    <s v="JEHOVAH JIREH PRIMARY SCHOOL"/>
    <n v="28"/>
    <x v="0"/>
    <x v="1"/>
    <x v="0"/>
    <s v="Good"/>
    <x v="0"/>
    <x v="0"/>
    <x v="0"/>
    <s v="Data entry"/>
    <s v="The app is efficient"/>
    <s v="I'm ok with it"/>
    <s v="Thank youthe app made my work easier"/>
  </r>
  <r>
    <d v="2026-06-05T00:00:00"/>
    <x v="5"/>
    <x v="7"/>
    <s v="NYALI  MOMBASA"/>
    <s v="FATHIL ADHIM PRIMARY SCHOOL"/>
    <n v="27"/>
    <x v="0"/>
    <x v="1"/>
    <x v="0"/>
    <s v="Good"/>
    <x v="0"/>
    <x v="0"/>
    <x v="0"/>
    <s v="I maged to collect data from grade to grade"/>
    <m/>
    <s v="Speed and performance"/>
    <m/>
  </r>
  <r>
    <d v="2026-06-05T00:00:00"/>
    <x v="4"/>
    <x v="4"/>
    <s v="KIBRAWESTLANDS"/>
    <s v="LADY NORTHEY DAY NURSERY"/>
    <n v="24"/>
    <x v="0"/>
    <x v="0"/>
    <x v="1"/>
    <s v="Very Good"/>
    <x v="1"/>
    <x v="1"/>
    <x v="0"/>
    <s v="The tool is time efficientit's save on time and fast in terms  of keying in the dataEverthing went well since the teachers were cooperative"/>
    <s v="As per me everything is okay"/>
    <s v="Everything is okay since the tool has made work easier"/>
    <m/>
  </r>
  <r>
    <d v="2026-06-05T00:00:00"/>
    <x v="4"/>
    <x v="6"/>
    <s v="KASARANI"/>
    <s v="JAMES GICHURU PRIMARY AND JUNIOR SECONDARY SCHOOL"/>
    <n v="49"/>
    <x v="0"/>
    <x v="0"/>
    <x v="0"/>
    <s v="Good"/>
    <x v="0"/>
    <x v="0"/>
    <x v="0"/>
    <s v="Getting the fil figures"/>
    <s v="Communication between data collection team and the school administration"/>
    <s v="Adequate follow up and communication between data collection team and the school administration should be maintained this would make it easier for them to give information to the school lead on time and easily"/>
    <m/>
  </r>
  <r>
    <d v="2026-06-05T00:00:00"/>
    <x v="4"/>
    <x v="6"/>
    <s v="EASTLEIGHSTAREHE"/>
    <s v="ST TERESA GIRLS PRIMARY AND JUNIOR SECONDARY SCHOOL"/>
    <n v="51"/>
    <x v="0"/>
    <x v="0"/>
    <x v="0"/>
    <s v="Good"/>
    <x v="0"/>
    <x v="0"/>
    <x v="0"/>
    <s v="It's efficient in data collection"/>
    <s v="The efficiency"/>
    <s v=" as at now"/>
    <m/>
  </r>
  <r>
    <d v="2026-06-05T00:00:00"/>
    <x v="4"/>
    <x v="4"/>
    <s v="KIBRAWESTLANDS"/>
    <s v="KILELESHWA DAY NURSERY"/>
    <n v="22"/>
    <x v="0"/>
    <x v="0"/>
    <x v="1"/>
    <s v="Very Good"/>
    <x v="1"/>
    <x v="1"/>
    <x v="0"/>
    <s v="The user interface was very friendly"/>
    <s v="Everything is going well"/>
    <s v="So far so good everything is in good condition"/>
    <m/>
  </r>
  <r>
    <d v="2026-06-05T00:00:00"/>
    <x v="4"/>
    <x v="6"/>
    <s v="BIDIIZAWADI REGION"/>
    <s v="UHURU ESTATE PRIMARY"/>
    <n v="20"/>
    <x v="0"/>
    <x v="0"/>
    <x v="1"/>
    <s v="Good"/>
    <x v="1"/>
    <x v="0"/>
    <x v="0"/>
    <s v="Attendance challenges: &quot;Some learners were absent from school limiting engagement opportunities&quot;"/>
    <s v=":More consistent parent followup and earlier intervention for ictive learners could have improved the results&quot;"/>
    <s v="&quot;Conduct regular parent followups encourage timely topups and monitor ictive learners closely&quot;"/>
    <m/>
  </r>
  <r>
    <d v="2026-06-05T00:00:00"/>
    <x v="0"/>
    <x v="2"/>
    <s v="KIKUYU"/>
    <s v="GITIBA PRIMARY AND JUNIOR SCHOOL"/>
    <n v="32"/>
    <x v="0"/>
    <x v="0"/>
    <x v="0"/>
    <s v="Very Good"/>
    <x v="0"/>
    <x v="1"/>
    <x v="0"/>
    <s v="It was easy and fast to use"/>
    <s v="The app gave me a problem in locating the latitude"/>
    <s v="Great feature in general"/>
    <m/>
  </r>
  <r>
    <d v="2026-06-05T00:00:00"/>
    <x v="3"/>
    <x v="5"/>
    <s v="KAKAMEGA"/>
    <s v="ST VINCENT HIRUMBI COMPREHENSIVE PRIMARY"/>
    <n v="40"/>
    <x v="0"/>
    <x v="1"/>
    <x v="1"/>
    <s v="Very Good"/>
    <x v="1"/>
    <x v="1"/>
    <x v="0"/>
    <s v="Admin made data collection easy"/>
    <s v="Some kids don't show up in school until the fourth week I feel that there should be an extension"/>
    <s v="Make data collection to be on the fourth week"/>
    <m/>
  </r>
  <r>
    <d v="2026-06-05T00:00:00"/>
    <x v="5"/>
    <x v="7"/>
    <s v="NYALI  MOMBASA"/>
    <s v="CONCORDIA PRIMARY SCHOOL"/>
    <n v="24"/>
    <x v="0"/>
    <x v="0"/>
    <x v="1"/>
    <s v="Very Good"/>
    <x v="1"/>
    <x v="1"/>
    <x v="0"/>
    <s v="Easy data collection process Finding coordites was easier without the actual map which gave wrong coordites"/>
    <s v="There were no challenges in the data collection process"/>
    <s v="The collection process was okay"/>
    <m/>
  </r>
  <r>
    <d v="2026-06-05T00:00:00"/>
    <x v="0"/>
    <x v="3"/>
    <s v="RUIRUJUJA"/>
    <s v="KWIHOTA PRIMARY SCHOOL"/>
    <n v="22"/>
    <x v="0"/>
    <x v="1"/>
    <x v="1"/>
    <s v="Very Good"/>
    <x v="1"/>
    <x v="1"/>
    <x v="0"/>
    <s v="I particularly like that the app calculates the total number of boys and girls separately This makes error detection much easier as any mismatch between the app's totals and the paper records can be spotted quickly"/>
    <s v="The app experiences delays when capturing GPS coordites at the school gate requiring multiple attempts before the location is successfully recorded"/>
    <s v="Improve GPS loading speed and stability during location capture"/>
    <s v="Provide data for us to work more efficiently"/>
  </r>
  <r>
    <d v="2026-06-05T00:00:00"/>
    <x v="4"/>
    <x v="6"/>
    <s v="KASARANI"/>
    <s v="MAHIGA PRIMARY AND JUNIOR SECONDARY SCHOOL"/>
    <n v="42"/>
    <x v="0"/>
    <x v="0"/>
    <x v="1"/>
    <s v="Good"/>
    <x v="1"/>
    <x v="0"/>
    <x v="0"/>
    <s v="The tool was easy to vigate"/>
    <m/>
    <s v="Baseline data shouldn't be filled in every population collection"/>
    <m/>
  </r>
  <r>
    <d v="2026-06-05T00:00:00"/>
    <x v="4"/>
    <x v="6"/>
    <s v="EASTLEIGHSTAREHE"/>
    <s v="PUMWANI DAY NURSERY"/>
    <n v="19"/>
    <x v="0"/>
    <x v="0"/>
    <x v="0"/>
    <s v="Very Good"/>
    <x v="0"/>
    <x v="1"/>
    <x v="0"/>
    <s v="The KoboToolboxplatform was userfriendly and easy to understand Data collection was well organized and the submission process was smooth The tool helped maintain data accuracy and made it easier to monitor progress"/>
    <s v="Improved internet connectivity and more time for data verification to ensure accurate and timely submission"/>
    <s v="Provide more time for data collection and followup activities Improve guidance on handling common challenges encountered in the field Strengthen support for offline data collection "/>
    <s v="The exercise was well coordited and provided valuable experience Continued improvements to the process and support systems will make future data collection exercises even more effective"/>
  </r>
  <r>
    <d v="2026-06-05T00:00:00"/>
    <x v="4"/>
    <x v="6"/>
    <s v="EASTLEIGHSTAREHE"/>
    <s v="RACECOURSE PRIMARY SCHOOL"/>
    <n v="25"/>
    <x v="0"/>
    <x v="0"/>
    <x v="0"/>
    <s v="Good"/>
    <x v="0"/>
    <x v="0"/>
    <x v="0"/>
    <s v="The work flow"/>
    <s v="No challenge"/>
    <s v="For me everything was  good"/>
    <s v="So far so good"/>
  </r>
  <r>
    <d v="2026-06-05T00:00:00"/>
    <x v="0"/>
    <x v="3"/>
    <s v="RUIRUGITHUNGURI"/>
    <s v="GITOTHUA PRIMARY SCHOOL"/>
    <n v="23"/>
    <x v="0"/>
    <x v="0"/>
    <x v="1"/>
    <s v="Very Good"/>
    <x v="1"/>
    <x v="1"/>
    <x v="0"/>
    <s v="It already has sections so filling in the numbers is easier and the total number of students automatically fills itself"/>
    <s v=" I can think of"/>
    <s v=" I can thin of"/>
    <m/>
  </r>
  <r>
    <d v="2026-06-05T00:00:00"/>
    <x v="0"/>
    <x v="2"/>
    <s v="KIKUYU"/>
    <s v="HGM KINOO PRIMARY AND JUNIOR SCHOOL"/>
    <n v="35"/>
    <x v="0"/>
    <x v="1"/>
    <x v="0"/>
    <s v="Very Good"/>
    <x v="0"/>
    <x v="1"/>
    <x v="0"/>
    <s v="I didn't have any hardship in accessing the school population dataThe collection process was fast and efficient"/>
    <s v="I had to explain in details on why I regularly asks for the school data"/>
    <s v="In future I would suggest our data team should prepare a school population data sheet  it will make it easier for the administrator to understand  the process It will also help in the record keeping for us working in the school"/>
    <m/>
  </r>
  <r>
    <d v="2026-06-05T00:00:00"/>
    <x v="4"/>
    <x v="4"/>
    <s v="KIBRAWESTLANDS"/>
    <s v="MUGUGA GREEN PRIMARY SCHOOL"/>
    <n v="27"/>
    <x v="0"/>
    <x v="1"/>
    <x v="1"/>
    <s v="Very Good"/>
    <x v="1"/>
    <x v="1"/>
    <x v="0"/>
    <s v="Using the app is more convenient and efficient"/>
    <s v="My TAT on the task"/>
    <s v="No idea"/>
    <m/>
  </r>
  <r>
    <d v="2026-06-05T00:00:00"/>
    <x v="4"/>
    <x v="4"/>
    <s v="KIBRAWESTLANDS"/>
    <s v="ST GEORGE'S COMPREHENSIVE SCHOOL"/>
    <n v="32"/>
    <x v="0"/>
    <x v="0"/>
    <x v="1"/>
    <s v="Very Good"/>
    <x v="1"/>
    <x v="1"/>
    <x v="0"/>
    <s v="It's not time consumingcompared to going round taking photos of class registers"/>
    <s v="Collecting baseline data before the school started feeding since it's not the same person who has been in charge since then"/>
    <s v="Everything is okay"/>
    <s v="The tool is easy to use efficient and saves on time"/>
  </r>
  <r>
    <d v="2026-06-05T00:00:00"/>
    <x v="4"/>
    <x v="6"/>
    <s v="EMBAKASI"/>
    <s v="MOWLEM SUPALOAF PRIMARY AND JUNIOR SECONDARY SCHOOL"/>
    <n v="51"/>
    <x v="0"/>
    <x v="0"/>
    <x v="0"/>
    <s v="Good"/>
    <x v="0"/>
    <x v="0"/>
    <x v="0"/>
    <s v="Easy and accurate calculation"/>
    <s v="It would be easier if we collected the total number of students rather than boy and girls separately"/>
    <s v="Add other options of acquiring data  either in general or  boys and girls separately"/>
    <m/>
  </r>
  <r>
    <d v="2026-06-05T00:00:00"/>
    <x v="4"/>
    <x v="6"/>
    <s v="KASARANI"/>
    <s v="KARIOBANGI SOUTH PRIMARY AND JUNIOR SECONDARY SCHOOL"/>
    <n v="52"/>
    <x v="0"/>
    <x v="0"/>
    <x v="0"/>
    <s v="Very Good"/>
    <x v="0"/>
    <x v="1"/>
    <x v="0"/>
    <s v="Everything was well especially uploading the document very easy no struggle"/>
    <s v="I think it's okay the way it is"/>
    <s v="Just maintain it the way it is"/>
    <s v="It is very easy and first it take minutes and you are doneunless the administration delays to provide the population"/>
  </r>
  <r>
    <d v="2026-06-05T00:00:00"/>
    <x v="6"/>
    <x v="8"/>
    <s v="BUNGOMA"/>
    <s v="CHEMCHE ACK PRIMARY SCHOOL"/>
    <n v="26"/>
    <x v="0"/>
    <x v="0"/>
    <x v="0"/>
    <s v="Very Good"/>
    <x v="0"/>
    <x v="1"/>
    <x v="0"/>
    <s v="It's easier to identify the number of both girls and boys present in a particular day in schoolThe admin cooperated in terms of data provision"/>
    <s v="Head count interrupts class attentions in kids  Let it be done in the evenings"/>
    <s v="To be done twice or thrice in a week not daily"/>
    <s v="s"/>
  </r>
  <r>
    <d v="2026-06-05T00:00:00"/>
    <x v="4"/>
    <x v="6"/>
    <s v="EASTLEIGHSTAREHE"/>
    <s v="NEW EASTLEIGH PRIMARY AND JUNIOR SCHOOL"/>
    <n v="39"/>
    <x v="0"/>
    <x v="0"/>
    <x v="1"/>
    <s v="Very Good"/>
    <x v="1"/>
    <x v="1"/>
    <x v="0"/>
    <s v="At least the learner's are enjoying the new garlic western dengu"/>
    <s v="Language barrier"/>
    <s v="Creation of awareness"/>
    <m/>
  </r>
  <r>
    <d v="2026-06-05T00:00:00"/>
    <x v="4"/>
    <x v="6"/>
    <s v="EASTLEIGHSTAREHE"/>
    <s v="KIBORO PRIMARY SCHOOL"/>
    <n v="21"/>
    <x v="0"/>
    <x v="0"/>
    <x v="0"/>
    <s v="Good"/>
    <x v="0"/>
    <x v="0"/>
    <x v="0"/>
    <s v="The whole process was smooth"/>
    <m/>
    <m/>
    <m/>
  </r>
  <r>
    <d v="2026-06-05T00:00:00"/>
    <x v="4"/>
    <x v="6"/>
    <s v="BIDIIZAWADI REGION"/>
    <s v="OLM SHAURI MOYO GIRLS PRIMARY AND JUNIOR SCHOOL"/>
    <n v="47"/>
    <x v="0"/>
    <x v="0"/>
    <x v="0"/>
    <s v="Good"/>
    <x v="0"/>
    <x v="0"/>
    <x v="0"/>
    <s v="It was easy to use the tool as I didn't find any difficulty while using it"/>
    <s v="No challenge experienced while using the tool"/>
    <m/>
    <m/>
  </r>
  <r>
    <d v="2026-06-05T00:00:00"/>
    <x v="4"/>
    <x v="4"/>
    <s v="KAJIADOLANGATA"/>
    <s v="KONGONI PRIMARY SCHOOL"/>
    <n v="22"/>
    <x v="0"/>
    <x v="0"/>
    <x v="1"/>
    <s v="Very Good"/>
    <x v="1"/>
    <x v="1"/>
    <x v="0"/>
    <s v="The process of data collection was good and the period given was enough and response from the learners"/>
    <s v="The collection was a bit confusing but if the spreadsheet could have been a bit better"/>
    <s v="s"/>
    <m/>
  </r>
  <r>
    <d v="2026-06-05T00:00:00"/>
    <x v="4"/>
    <x v="6"/>
    <s v="KASARANI"/>
    <s v="GITHURAI PRIMARY SCHOOL"/>
    <n v="23"/>
    <x v="0"/>
    <x v="0"/>
    <x v="1"/>
    <s v="Very Good"/>
    <x v="1"/>
    <x v="1"/>
    <x v="0"/>
    <s v="Feeding the data was easy"/>
    <s v="We have quite a number of streams so it would be great if the app would accommodate submitting the data according to the streams in a school"/>
    <s v="We have quite a number of streams so it would be great if the app would accommodate submitting the data according to the streams in a school"/>
    <s v="That the kobo app be made more convenient to use"/>
  </r>
  <r>
    <d v="2026-06-05T00:00:00"/>
    <x v="4"/>
    <x v="6"/>
    <s v="BIDIIZAWADI REGION"/>
    <s v="BURUBURU 1 COMPREHENSIVE SCHOOL"/>
    <n v="31"/>
    <x v="0"/>
    <x v="0"/>
    <x v="0"/>
    <s v="Very Good"/>
    <x v="0"/>
    <x v="1"/>
    <x v="0"/>
    <s v="The system is seamless able to save drafts"/>
    <s v="No challenges experienced with the app the main challenge is collecting the data for every individual class compiling it for submission it is very time consuming and some classes do not always have the class teacher present"/>
    <s v="The data collection can be mitigated to perphaps specific days in a week or a week in a month however every day class to class is not practical"/>
    <m/>
  </r>
  <r>
    <d v="2026-06-05T00:00:00"/>
    <x v="4"/>
    <x v="6"/>
    <s v="BIDIIZAWADI REGION"/>
    <s v="CANON APOLO PRIMARY AND JUNIOR SCHOOL"/>
    <n v="37"/>
    <x v="0"/>
    <x v="1"/>
    <x v="0"/>
    <s v="Good"/>
    <x v="0"/>
    <x v="0"/>
    <x v="0"/>
    <s v="The class breakdown makes work more easier and also the totals after population colletion"/>
    <s v=" app is responding great"/>
    <s v="For me the app contains all is needed currently therefore we keep up with the app"/>
    <m/>
  </r>
  <r>
    <d v="2026-06-05T00:00:00"/>
    <x v="4"/>
    <x v="6"/>
    <s v="BIDIIZAWADI REGION"/>
    <s v="KALOLENI PRIMARY SCHOOL"/>
    <n v="23"/>
    <x v="0"/>
    <x v="0"/>
    <x v="0"/>
    <s v="Good"/>
    <x v="0"/>
    <x v="0"/>
    <x v="0"/>
    <s v="Was actually able to know the exact number of kids in the school"/>
    <m/>
    <m/>
    <m/>
  </r>
  <r>
    <d v="2026-06-05T00:00:00"/>
    <x v="0"/>
    <x v="3"/>
    <s v="RUIRUGITHUNGURI"/>
    <s v="NGEWA PRIMARY SCHOOL"/>
    <n v="20"/>
    <x v="0"/>
    <x v="0"/>
    <x v="0"/>
    <s v="Good"/>
    <x v="0"/>
    <x v="0"/>
    <x v="0"/>
    <s v="Administration coparated to give the information"/>
    <m/>
    <m/>
    <s v="The method used was good"/>
  </r>
  <r>
    <d v="2026-06-05T00:00:00"/>
    <x v="4"/>
    <x v="6"/>
    <s v="BIDIIZAWADI REGION"/>
    <s v="TA CRESCENT DAY NURSERY"/>
    <n v="23"/>
    <x v="0"/>
    <x v="0"/>
    <x v="0"/>
    <s v="Very Good"/>
    <x v="0"/>
    <x v="1"/>
    <x v="0"/>
    <s v="Kids ate hot safe enough food on time"/>
    <s v="Right portion hot food clean plateshappy parents and low wasted food"/>
    <s v="Focus on the 4 places where small small fixes big impact for kids based on everything we re discussed  safety grievances data"/>
    <m/>
  </r>
  <r>
    <d v="2026-06-05T00:00:00"/>
    <x v="4"/>
    <x v="6"/>
    <s v="BIDIIZAWADI REGION"/>
    <s v="KALOLENI DAY NURSERY"/>
    <n v="20"/>
    <x v="0"/>
    <x v="0"/>
    <x v="0"/>
    <s v="Good"/>
    <x v="0"/>
    <x v="0"/>
    <x v="0"/>
    <s v="The process was good and head teacher was cooperative"/>
    <s v="No challenges"/>
    <s v="Process was good"/>
    <m/>
  </r>
  <r>
    <d v="2026-06-05T00:00:00"/>
    <x v="4"/>
    <x v="6"/>
    <s v="KASARANI"/>
    <s v="KENYATTA UNIVERSITY PRIMARY SCHOOL"/>
    <n v="34"/>
    <x v="0"/>
    <x v="0"/>
    <x v="1"/>
    <s v="Very Good"/>
    <x v="1"/>
    <x v="1"/>
    <x v="0"/>
    <s v="It automatically saves collected data that even if I left the site I could still continue from where I left it without losing previously recorded information"/>
    <s v="I didn’t find any challenges feeding the data"/>
    <m/>
    <s v="Through the link the submitted data isn’t available for later viewing At least make it visible in the future"/>
  </r>
  <r>
    <d v="2026-06-05T00:00:00"/>
    <x v="4"/>
    <x v="4"/>
    <s v="KIBRAWESTLANDS"/>
    <s v="JACARANDA SPECIAL SCHOOL"/>
    <n v="24"/>
    <x v="0"/>
    <x v="0"/>
    <x v="0"/>
    <s v="Good"/>
    <x v="0"/>
    <x v="0"/>
    <x v="0"/>
    <s v="The accuracy"/>
    <s v=" all was good"/>
    <s v="Good job keep it up "/>
    <m/>
  </r>
  <r>
    <d v="2026-06-05T00:00:00"/>
    <x v="0"/>
    <x v="3"/>
    <s v="RUIRUGITHUNGURI"/>
    <s v="KOMOTHAI COMPREHENSIVE SCHOOL"/>
    <n v="29"/>
    <x v="0"/>
    <x v="0"/>
    <x v="0"/>
    <s v="Good"/>
    <x v="0"/>
    <x v="0"/>
    <x v="0"/>
    <s v="How it sums up the population for both boys and girls"/>
    <s v="Getting the school location"/>
    <s v="Show records for previous population taken"/>
    <m/>
  </r>
  <r>
    <d v="2026-06-05T00:00:00"/>
    <x v="4"/>
    <x v="6"/>
    <s v="EASTLEIGHSTAREHE"/>
    <s v="ST TERESA BOYS PRIMARY AND JUNIOR SECONDARY SCHOOL"/>
    <n v="50"/>
    <x v="0"/>
    <x v="0"/>
    <x v="1"/>
    <s v="Very Good"/>
    <x v="1"/>
    <x v="1"/>
    <x v="0"/>
    <s v="The tool is easy to use and input data that is accurate and can be saved in draft"/>
    <s v="No issue found Tool works perfectly"/>
    <s v="Improvements needed on when stating data is received from the senior teacher has already been solved"/>
    <s v=" so far"/>
  </r>
  <r>
    <d v="2026-06-05T00:00:00"/>
    <x v="0"/>
    <x v="3"/>
    <s v="RUIRUGITHUNGURI"/>
    <s v="MANGUU PRIMARY SCHOOL"/>
    <n v="21"/>
    <x v="0"/>
    <x v="1"/>
    <x v="1"/>
    <s v="Very Good"/>
    <x v="1"/>
    <x v="1"/>
    <x v="0"/>
    <s v="Smooth and successful No errors"/>
    <s v="No major challenges"/>
    <m/>
    <m/>
  </r>
  <r>
    <d v="2026-06-05T00:00:00"/>
    <x v="4"/>
    <x v="6"/>
    <s v="BIDIIZAWADI REGION"/>
    <s v="ZAWADI PRIMARY SCHOOL"/>
    <n v="21"/>
    <x v="0"/>
    <x v="0"/>
    <x v="1"/>
    <s v="Good"/>
    <x v="1"/>
    <x v="0"/>
    <x v="0"/>
    <s v="My administration was cooperative during the population collection during"/>
    <m/>
    <s v="On my end I like you guys are doing a very great jobso as for me everything is good"/>
    <m/>
  </r>
  <r>
    <d v="2026-06-05T00:00:00"/>
    <x v="4"/>
    <x v="6"/>
    <s v="BIDIIZAWADI REGION"/>
    <s v="BARAKA COMPREHENSIVE SCHOOL"/>
    <n v="27"/>
    <x v="0"/>
    <x v="0"/>
    <x v="2"/>
    <s v="Good"/>
    <x v="2"/>
    <x v="0"/>
    <x v="1"/>
    <s v="The tool was easy to access and use Data submission was straightforward The online link made it convenient to collect information"/>
    <m/>
    <s v="Simplify the data collection process Provide clearer instructions for users Improve system performance and responsiveness"/>
    <m/>
  </r>
  <r>
    <d v="2026-06-05T00:00:00"/>
    <x v="6"/>
    <x v="8"/>
    <s v="BUNGOMA"/>
    <s v="BUEMA RC PRIMARY AND JUNIOR SCHOOL"/>
    <n v="34"/>
    <x v="0"/>
    <x v="0"/>
    <x v="0"/>
    <s v="Good"/>
    <x v="0"/>
    <x v="0"/>
    <x v="0"/>
    <s v="No challenge when getting the informationI was helped by the senior teacher"/>
    <s v="Everything was ok"/>
    <m/>
    <m/>
  </r>
  <r>
    <d v="2026-06-05T00:00:00"/>
    <x v="4"/>
    <x v="6"/>
    <s v="EASTLEIGHSTAREHE"/>
    <s v="AINSWORTH PRIMARY SCHOOL"/>
    <n v="24"/>
    <x v="0"/>
    <x v="0"/>
    <x v="1"/>
    <s v="Very Good"/>
    <x v="1"/>
    <x v="1"/>
    <x v="0"/>
    <s v="The data collection tool was well organized and very easy to use making data collection seamless Cooperation from the teachers also made the process much easier to complete"/>
    <s v="One challenge i faced is that in some classes the registers were not upto date especially after admission of new students whose mes were not yet entered in the register hence lengthening the process Some teachers were also quite reluctant to provide the data as they didn't fully understand the purpose of it's collection"/>
    <s v="I recommend that in future population collection exercises communication should be made to the headteachers through sms before the exercise begins to help them sensitize other teachers on the exercise"/>
    <s v="Overallthe exercise was successful and provided data needed for planning and decision making"/>
  </r>
  <r>
    <d v="2026-06-05T00:00:00"/>
    <x v="0"/>
    <x v="0"/>
    <s v="LIMURU 1"/>
    <s v="NDUNG'U GIRLS SECONDARY SCHOOL"/>
    <n v="30"/>
    <x v="1"/>
    <x v="0"/>
    <x v="0"/>
    <s v="Very Good"/>
    <x v="0"/>
    <x v="1"/>
    <x v="0"/>
    <s v="All went wellI had no challenge in getting the data and filling it in"/>
    <s v="I didn't get any challenge"/>
    <s v="Giving us feedback on the active students compared to the population and registered students"/>
    <m/>
  </r>
  <r>
    <d v="2026-06-05T00:00:00"/>
    <x v="0"/>
    <x v="2"/>
    <s v="KABETE"/>
    <s v="LOWER KIHARA COMPREHENSIVE SCHOOL"/>
    <n v="33"/>
    <x v="0"/>
    <x v="0"/>
    <x v="2"/>
    <s v="Very Good"/>
    <x v="2"/>
    <x v="1"/>
    <x v="1"/>
    <s v="The primary school and JSS administration were cooperative in handing the data to me"/>
    <s v="Separate the ECDE data from the main data given that mostly in places like Kiambu Those are two separate institutions"/>
    <s v="Combo collect should have a drafts section visible"/>
    <m/>
  </r>
  <r>
    <d v="2026-06-05T00:00:00"/>
    <x v="4"/>
    <x v="6"/>
    <s v="EMBAKASI"/>
    <s v="MARIAKANI PRIMARY SCHOOL"/>
    <n v="24"/>
    <x v="0"/>
    <x v="0"/>
    <x v="0"/>
    <s v="Good"/>
    <x v="0"/>
    <x v="0"/>
    <x v="0"/>
    <s v="It was Abit first simplified and the fact I could that I could see the numbers of both boys and girls separately I think it was very relevant"/>
    <s v="As for now I think it's the best method so far"/>
    <s v="This should at least be done monthly to reduce the many discrepancies that are pilling"/>
    <m/>
  </r>
  <r>
    <d v="2026-06-05T00:00:00"/>
    <x v="4"/>
    <x v="4"/>
    <s v="KIBRAWESTLANDS"/>
    <s v="JAMHURI COMPREHENSIVE SCHOOL"/>
    <n v="28"/>
    <x v="0"/>
    <x v="0"/>
    <x v="0"/>
    <s v="Good"/>
    <x v="0"/>
    <x v="0"/>
    <x v="0"/>
    <s v="The information was easy to gather from class teachers and the deputy"/>
    <s v="The platform was failing to collect the location information sometimes"/>
    <s v="Maybe allow someone to update the data submitted incase someone submits wrong data at any point"/>
    <m/>
  </r>
  <r>
    <d v="2026-06-05T00:00:00"/>
    <x v="4"/>
    <x v="6"/>
    <s v="KASARANI"/>
    <s v="KARURA FOREST SCHOOL"/>
    <n v="20"/>
    <x v="0"/>
    <x v="0"/>
    <x v="3"/>
    <s v="Very Poor"/>
    <x v="3"/>
    <x v="3"/>
    <x v="1"/>
    <s v="Easy to use Straight forward Time saving Reduced error in during calculation"/>
    <s v="No major challenges was encountered"/>
    <s v="Maybe can be designed in a way that can read a picture such that when I take a picture it can autofill the numbers"/>
    <s v="Generally the tools is cool and user friendly"/>
  </r>
  <r>
    <d v="2026-06-05T00:00:00"/>
    <x v="4"/>
    <x v="6"/>
    <s v="BIDIIZAWADI REGION"/>
    <s v="JOSEPH APUDO PRIMARY SCHOOL"/>
    <n v="27"/>
    <x v="0"/>
    <x v="0"/>
    <x v="0"/>
    <s v="Good"/>
    <x v="0"/>
    <x v="0"/>
    <x v="0"/>
    <s v="Through this process I was able to know the exact school population The Head of institution was so supportive because she provided the term 2 school enrollment make work easier"/>
    <s v="I didn't encounter any challenge The process was smooth and easy"/>
    <s v="By giving us sufficient time so that we can provide with accurate data"/>
    <m/>
  </r>
  <r>
    <d v="2026-06-05T00:00:00"/>
    <x v="4"/>
    <x v="6"/>
    <s v="BIDIIZAWADI REGION"/>
    <s v="ST MICHAEL'S PRIMARY SCHOOL"/>
    <n v="27"/>
    <x v="0"/>
    <x v="0"/>
    <x v="0"/>
    <s v="Good"/>
    <x v="0"/>
    <x v="0"/>
    <x v="0"/>
    <s v="The submission was smooth"/>
    <m/>
    <m/>
    <m/>
  </r>
  <r>
    <d v="2026-06-05T00:00:00"/>
    <x v="0"/>
    <x v="0"/>
    <s v="LIMURU 1"/>
    <s v="MAKUTANO SECONDARY SCHOOL"/>
    <n v="25"/>
    <x v="1"/>
    <x v="0"/>
    <x v="0"/>
    <s v="Good"/>
    <x v="0"/>
    <x v="0"/>
    <x v="0"/>
    <s v="Was easy to assess"/>
    <s v="Using the link it was slow opening"/>
    <s v="Using the app instead of link"/>
    <m/>
  </r>
  <r>
    <d v="2026-06-05T00:00:00"/>
    <x v="0"/>
    <x v="3"/>
    <s v="RUIRUJUJA"/>
    <s v="KALIMONI COMPREHENSIVE SCHOOL"/>
    <n v="29"/>
    <x v="0"/>
    <x v="1"/>
    <x v="1"/>
    <s v="Very Good"/>
    <x v="1"/>
    <x v="1"/>
    <x v="0"/>
    <s v="The school was cooperative in the population collection process"/>
    <s v="There were so many activities that increased kids absentism making it uneasy to collect the population"/>
    <s v="No recommendations"/>
    <s v="No"/>
  </r>
  <r>
    <d v="2026-06-05T00:00:00"/>
    <x v="4"/>
    <x v="6"/>
    <s v="BIDIIZAWADI REGION"/>
    <s v="JOGOO ROAD PRIMARY SCHOOL"/>
    <n v="25"/>
    <x v="0"/>
    <x v="0"/>
    <x v="0"/>
    <s v="Very Good"/>
    <x v="0"/>
    <x v="1"/>
    <x v="0"/>
    <s v="The Admin were supportive"/>
    <m/>
    <m/>
    <s v="No thanks"/>
  </r>
  <r>
    <d v="2026-06-05T00:00:00"/>
    <x v="0"/>
    <x v="0"/>
    <s v="GITHUNGURI 1"/>
    <s v="GITHIMA PRIMARY AND JUNIOR SECONDARY SCHOOL"/>
    <n v="43"/>
    <x v="0"/>
    <x v="1"/>
    <x v="1"/>
    <s v="Very Good"/>
    <x v="1"/>
    <x v="1"/>
    <x v="0"/>
    <s v="It was easy collecting the population using the app and also the school admin responded positively on issuing me the document of population"/>
    <s v="For my school I had a challenge on accessing the baseline population because the admin had misplaced them and also the transfers were many thus decreasing the population comparing with other terms"/>
    <s v="Taking the population twice per term as the kids usually transfers also when getting back from midterm"/>
    <m/>
  </r>
  <r>
    <d v="2026-06-05T00:00:00"/>
    <x v="4"/>
    <x v="6"/>
    <s v="BIDIIZAWADI REGION"/>
    <s v="ST PAUL'S PRIMARY SCHOOL"/>
    <n v="24"/>
    <x v="0"/>
    <x v="0"/>
    <x v="0"/>
    <s v="Good"/>
    <x v="0"/>
    <x v="0"/>
    <x v="0"/>
    <s v="Class teachers helped verify attendances quickly which reduced errors school admin give us work space"/>
    <s v="Network issues delayed form submission better to train on offline submission"/>
    <s v="Add a short video training for any new kobo tool question"/>
    <m/>
  </r>
  <r>
    <d v="2026-06-05T00:00:00"/>
    <x v="0"/>
    <x v="2"/>
    <s v="KIAMBAA"/>
    <s v="MUCHATHA SECONDARY SCHOOL"/>
    <n v="25"/>
    <x v="1"/>
    <x v="0"/>
    <x v="0"/>
    <s v="Good"/>
    <x v="0"/>
    <x v="0"/>
    <x v="0"/>
    <s v="The process was seamless and easy to update the information"/>
    <m/>
    <m/>
    <s v="Looking forward to more seamless operations in the future"/>
  </r>
  <r>
    <d v="2026-06-05T00:00:00"/>
    <x v="4"/>
    <x v="4"/>
    <s v="KIBRAWESTLANDS"/>
    <s v="CGHU PRIMARY SCHOOL"/>
    <n v="19"/>
    <x v="0"/>
    <x v="0"/>
    <x v="0"/>
    <s v="Very Good"/>
    <x v="0"/>
    <x v="1"/>
    <x v="0"/>
    <s v="The online link worked well during data collection I was able to access the form easily collect the required school population data and submit the information successfully The process was smooth and all assigned tasks were completed accurately and on time"/>
    <s v=" major needed improvement The exercise was conducted successfully and all assigned tasks were completed as planned"/>
    <s v="We can improve by informing school staff earlier about the exercise ensuring all preparations are made in advance and allocating enough time to complete the assignment efficiently"/>
    <s v="The exercise was completed successfully and the data collection process was smooth"/>
  </r>
  <r>
    <d v="2026-06-05T00:00:00"/>
    <x v="0"/>
    <x v="0"/>
    <s v="LARI"/>
    <s v="KAMUCHEGE SECONDARY SCHOOL"/>
    <n v="26"/>
    <x v="1"/>
    <x v="1"/>
    <x v="0"/>
    <s v="Good"/>
    <x v="0"/>
    <x v="0"/>
    <x v="0"/>
    <s v="Finding the number of students in the school since the admin was corporative"/>
    <s v="Finding the baseline population"/>
    <s v="In the kobo app their are many steps so maybe by making it one form"/>
    <m/>
  </r>
  <r>
    <d v="2026-06-05T00:00:00"/>
    <x v="4"/>
    <x v="6"/>
    <s v="BIDIIZAWADI REGION"/>
    <s v="OFAFA DAY NURSERY"/>
    <n v="17"/>
    <x v="0"/>
    <x v="0"/>
    <x v="0"/>
    <s v="Good"/>
    <x v="0"/>
    <x v="0"/>
    <x v="0"/>
    <s v="How it's simple"/>
    <m/>
    <s v="Combition of the whole class than doing  girls and boys"/>
    <m/>
  </r>
  <r>
    <d v="2026-06-05T00:00:00"/>
    <x v="0"/>
    <x v="0"/>
    <s v="LIMURU 1"/>
    <s v="KIRIRI PRIMARY SCHOOL"/>
    <n v="21"/>
    <x v="0"/>
    <x v="0"/>
    <x v="1"/>
    <s v="Very Good"/>
    <x v="1"/>
    <x v="1"/>
    <x v="0"/>
    <s v="When filling the data per grade the link helped me to see the total population at the end I was able to see where I entered wrong detail and corrected them"/>
    <m/>
    <m/>
    <m/>
  </r>
  <r>
    <d v="2026-06-05T00:00:00"/>
    <x v="0"/>
    <x v="0"/>
    <s v="LIMURU 1"/>
    <s v="GATUURA SECONDARY SCHOOL"/>
    <n v="24"/>
    <x v="1"/>
    <x v="0"/>
    <x v="0"/>
    <s v="Good"/>
    <x v="0"/>
    <x v="0"/>
    <x v="0"/>
    <s v="The data showed the ratio of boys and girls is not equal boys are more than girlsI also discovered  that  form's  are  the most students in the school The students and data was already verifiedThe data was a gender breakdown showing the number of boys and girls present in the school"/>
    <s v="The challenge was the register might have not shown recent transfers  or dropouts If the boys and girls were equal in terms of numbers"/>
    <s v="You can create a  data process where it covers collection  validation and archiving"/>
    <m/>
  </r>
  <r>
    <d v="2026-06-05T00:00:00"/>
    <x v="1"/>
    <x v="1"/>
    <s v="KISUMU"/>
    <s v="ST MARY'S NYALENDA PRIMARY SCHOOL"/>
    <n v="33"/>
    <x v="0"/>
    <x v="0"/>
    <x v="0"/>
    <s v="Good"/>
    <x v="0"/>
    <x v="0"/>
    <x v="0"/>
    <s v="It was easier in the data entry  process"/>
    <s v="The process was flawless"/>
    <s v="Make it interlinked with the termil or tap to eat app"/>
    <m/>
  </r>
  <r>
    <d v="2026-06-05T00:00:00"/>
    <x v="0"/>
    <x v="0"/>
    <s v="LARI"/>
    <s v="GATHAITI SECONDARY SCHOOL"/>
    <n v="25"/>
    <x v="1"/>
    <x v="1"/>
    <x v="0"/>
    <s v="Very Good"/>
    <x v="0"/>
    <x v="1"/>
    <x v="0"/>
    <s v="The process is easy operate"/>
    <s v="If the students reported to school on the daily basis"/>
    <s v="Absentism"/>
    <m/>
  </r>
  <r>
    <d v="2026-06-05T00:00:00"/>
    <x v="4"/>
    <x v="4"/>
    <s v="DAGORETTIWESTLANDS"/>
    <s v="LORESHO COMPREHENSIVE SCHOOL"/>
    <n v="28"/>
    <x v="0"/>
    <x v="0"/>
    <x v="0"/>
    <s v="Good"/>
    <x v="0"/>
    <x v="0"/>
    <x v="0"/>
    <s v="Data was given by the deputy though not easy getting the same from HOI"/>
    <s v="Getting data easily from HOI"/>
    <s v="Sensitization to head of institutions on the need of the data"/>
    <m/>
  </r>
  <r>
    <d v="2026-06-05T00:00:00"/>
    <x v="0"/>
    <x v="2"/>
    <s v="KIAMBAA"/>
    <s v="GACHARAGE SECONDARY SCHOOL"/>
    <n v="26"/>
    <x v="1"/>
    <x v="0"/>
    <x v="1"/>
    <s v="Very Good"/>
    <x v="1"/>
    <x v="1"/>
    <x v="0"/>
    <s v="It was easy to usetime saving and it had accurate capture"/>
    <s v="GPS location took long to load in my school please check on that"/>
    <s v="Maybe check on log in issues in the app"/>
    <s v="Its a great for collecting population data"/>
  </r>
  <r>
    <d v="2026-06-05T00:00:00"/>
    <x v="0"/>
    <x v="0"/>
    <s v="LARI"/>
    <s v="ST JOSEPH THE WORKER HIGH SCHOOL"/>
    <n v="32"/>
    <x v="1"/>
    <x v="0"/>
    <x v="1"/>
    <s v="Very Good"/>
    <x v="1"/>
    <x v="1"/>
    <x v="0"/>
    <s v="The process is easier to follow"/>
    <s v="The Kobo tool workers well overall"/>
    <s v="Add an offline mode for areas with poor network to slightly faster loading would help"/>
    <s v="Kobo worked smoothly for data collection"/>
  </r>
  <r>
    <d v="2026-06-05T00:00:00"/>
    <x v="4"/>
    <x v="6"/>
    <s v="EMBAKASI"/>
    <s v="DRUMVALE PRIMARY SCHOOL"/>
    <n v="23"/>
    <x v="0"/>
    <x v="0"/>
    <x v="0"/>
    <s v="Good"/>
    <x v="0"/>
    <x v="0"/>
    <x v="0"/>
    <s v="Location accuracy and showing of population total helps you know where you might have went wrong One can use different methods of filling in the required data"/>
    <s v="Saving of the draft does not restore all of the info"/>
    <s v="Not requesting initial population data everytime at every submission it is repetitive"/>
    <m/>
  </r>
  <r>
    <d v="2026-06-05T00:00:00"/>
    <x v="4"/>
    <x v="4"/>
    <s v="ATHI RIVERNJIRU"/>
    <s v="MAUA PRIMARY SCHOOL"/>
    <n v="19"/>
    <x v="0"/>
    <x v="0"/>
    <x v="0"/>
    <s v="Good"/>
    <x v="0"/>
    <x v="0"/>
    <x v="0"/>
    <s v="There was no challenges while using the website"/>
    <s v="The website is okay"/>
    <s v="The website is okay"/>
    <m/>
  </r>
  <r>
    <d v="2026-06-05T00:00:00"/>
    <x v="4"/>
    <x v="4"/>
    <s v="ATHI RIVERNJIRU"/>
    <s v="NEW MU NAKURU PRIMARY SCHOOL"/>
    <n v="28"/>
    <x v="0"/>
    <x v="1"/>
    <x v="1"/>
    <s v="Very Good"/>
    <x v="1"/>
    <x v="1"/>
    <x v="0"/>
    <s v="Easier data collection"/>
    <s v="Automate the process of using the app"/>
    <s v="Everything is ok"/>
    <s v="Good app for data collection"/>
  </r>
  <r>
    <d v="2026-06-05T00:00:00"/>
    <x v="6"/>
    <x v="8"/>
    <s v="BUNGOMA"/>
    <s v="KHAOYA ERSF COMPREHENSIVE SCHOOL"/>
    <n v="32"/>
    <x v="0"/>
    <x v="1"/>
    <x v="0"/>
    <s v="Good"/>
    <x v="0"/>
    <x v="0"/>
    <x v="0"/>
    <s v="Using  the  tool was so effective"/>
    <m/>
    <m/>
    <m/>
  </r>
  <r>
    <d v="2026-06-05T00:00:00"/>
    <x v="0"/>
    <x v="0"/>
    <s v="GITHUNGURI 1"/>
    <s v="KAHUNIRA COMPREHENSIVE SCHOOL"/>
    <n v="29"/>
    <x v="0"/>
    <x v="0"/>
    <x v="0"/>
    <s v="Very Good"/>
    <x v="0"/>
    <x v="1"/>
    <x v="0"/>
    <s v="The population collection process went well due to proper coordition and cooperation from the administration"/>
    <s v="No challenges faced"/>
    <s v="There are no issues at the moment everything proceeded smoothly"/>
    <m/>
  </r>
  <r>
    <d v="2026-06-05T00:00:00"/>
    <x v="0"/>
    <x v="0"/>
    <s v="GITHUNGURI 1"/>
    <s v="KAHUNIRA SECONDARY SCHOOL"/>
    <n v="25"/>
    <x v="1"/>
    <x v="0"/>
    <x v="0"/>
    <s v="Good"/>
    <x v="0"/>
    <x v="0"/>
    <x v="0"/>
    <s v="The population collection process went well due to timely data collection and cooperation from administration"/>
    <s v="No challenge"/>
    <s v="There no issues at the moment everything proceeded smoothly"/>
    <m/>
  </r>
  <r>
    <d v="2026-06-05T00:00:00"/>
    <x v="6"/>
    <x v="8"/>
    <s v="BUNGOMA"/>
    <s v="SANG'ALO RC PRIMARY AND JUNIOR SCHOOL"/>
    <n v="37"/>
    <x v="0"/>
    <x v="1"/>
    <x v="1"/>
    <s v="Very Good"/>
    <x v="1"/>
    <x v="1"/>
    <x v="0"/>
    <s v="It has make our work simple you just click the kobo app and download the attendance you continue as directed  It is easy to use it guides you each step as you fill the data you can edit before you send  It's fast you take less than 5 minutes if already you have the data with you  Your are sure that your data is sent as it shows you if you data is sent"/>
    <s v="For the time being it's okay"/>
    <s v="It's fine as it is"/>
    <s v="Thanks for the Kobo app and it's features"/>
  </r>
  <r>
    <d v="2026-06-05T00:00:00"/>
    <x v="4"/>
    <x v="4"/>
    <s v="KIBRAWESTLANDS"/>
    <s v="BOHRA ROAD PRIMARY SCHOOL"/>
    <n v="25"/>
    <x v="0"/>
    <x v="0"/>
    <x v="1"/>
    <s v="Very Good"/>
    <x v="1"/>
    <x v="1"/>
    <x v="0"/>
    <s v="It was easy to access the tool"/>
    <s v="While using the tool I did not face any challengeTo me it worked perfectly fine"/>
    <s v="I would recommendwe be conducting the exercise after every month because the number of kids fluctuate throughout the term"/>
    <m/>
  </r>
  <r>
    <d v="2026-06-05T00:00:00"/>
    <x v="4"/>
    <x v="6"/>
    <s v="EASTLEIGHSTAREHE"/>
    <s v="CITY PRIMARY SCHOOL"/>
    <n v="19"/>
    <x v="0"/>
    <x v="0"/>
    <x v="0"/>
    <s v="Good"/>
    <x v="0"/>
    <x v="0"/>
    <x v="0"/>
    <s v="Everything"/>
    <s v="The site was slow"/>
    <s v="Kindly work out to improve on the speed of the application"/>
    <m/>
  </r>
  <r>
    <d v="2026-06-05T00:00:00"/>
    <x v="1"/>
    <x v="1"/>
    <s v="KISUMU"/>
    <s v="OBINJU KANYAKWAR COMPREHENSIVE SCHOOL"/>
    <n v="37"/>
    <x v="0"/>
    <x v="0"/>
    <x v="0"/>
    <s v="Good"/>
    <x v="0"/>
    <x v="0"/>
    <x v="0"/>
    <s v="Easy to vigate"/>
    <m/>
    <m/>
    <m/>
  </r>
  <r>
    <d v="2026-06-05T00:00:00"/>
    <x v="0"/>
    <x v="0"/>
    <s v="LARI"/>
    <s v="KIMENDE HIGH SCHOOL"/>
    <n v="19"/>
    <x v="1"/>
    <x v="0"/>
    <x v="0"/>
    <s v="Good"/>
    <x v="0"/>
    <x v="0"/>
    <x v="0"/>
    <s v="By use of the link submitting the data was faster"/>
    <s v="Make use of the link and app all effective"/>
    <s v="Make use of the app effective to all"/>
    <s v="While using the appit was only giving an option of one school"/>
  </r>
  <r>
    <d v="2026-06-05T00:00:00"/>
    <x v="1"/>
    <x v="1"/>
    <s v="KISUMU"/>
    <s v="ACK DIOCESE OF MASENO SOUTH MANYATTA PARISH PRIMARY ECDE EYE AND JUNIOR SECONDARY SCHOOL"/>
    <n v="88"/>
    <x v="0"/>
    <x v="1"/>
    <x v="1"/>
    <s v="Very Good"/>
    <x v="1"/>
    <x v="1"/>
    <x v="0"/>
    <s v="The app was really helpful and effective"/>
    <s v="The GPS to be precise"/>
    <s v="The app to me was really efficient"/>
    <m/>
  </r>
  <r>
    <d v="2026-06-05T00:00:00"/>
    <x v="7"/>
    <x v="4"/>
    <s v="ATHI RIVERNJIRU"/>
    <s v="DEB KMC PRIMARY SCHOOL"/>
    <n v="22"/>
    <x v="0"/>
    <x v="0"/>
    <x v="0"/>
    <s v="Very Good"/>
    <x v="0"/>
    <x v="1"/>
    <x v="0"/>
    <s v="The headteacher gave support needed"/>
    <s v="No challenges encountered"/>
    <s v="Just found the tool interractive"/>
    <s v="No"/>
  </r>
  <r>
    <d v="2026-06-05T00:00:00"/>
    <x v="1"/>
    <x v="1"/>
    <s v="KISUMU"/>
    <s v="OBWOLO PRIMARY ECDE AND JUNIOR SECONDARY"/>
    <n v="40"/>
    <x v="0"/>
    <x v="0"/>
    <x v="0"/>
    <s v="Very Good"/>
    <x v="0"/>
    <x v="1"/>
    <x v="0"/>
    <s v="●Admin allowed me to collect the population once a week  Some class teachers were very helpful by providing the numbers without issues"/>
    <s v="The once a week collection is a good choice so we dont have to interfere with ongoing classes"/>
    <m/>
    <m/>
  </r>
  <r>
    <d v="2026-06-05T00:00:00"/>
    <x v="1"/>
    <x v="1"/>
    <s v="KISUMU"/>
    <s v="KISUMU UNION PRIMARY SCHOOL"/>
    <n v="27"/>
    <x v="0"/>
    <x v="1"/>
    <x v="0"/>
    <s v="Very Good"/>
    <x v="0"/>
    <x v="1"/>
    <x v="0"/>
    <s v="The process is smooth and time saving"/>
    <s v="All is well"/>
    <m/>
    <m/>
  </r>
  <r>
    <d v="2026-06-05T00:00:00"/>
    <x v="6"/>
    <x v="8"/>
    <s v="BUNGOMA"/>
    <s v="ST MARY'S KIBABII GIRLS BOARDING PRIMARY SCHOOL"/>
    <n v="47"/>
    <x v="0"/>
    <x v="1"/>
    <x v="0"/>
    <s v="Good"/>
    <x v="0"/>
    <x v="0"/>
    <x v="0"/>
    <s v="Its was easy to vigate The interface is great"/>
    <s v="The app is good No challenges faced during its use"/>
    <s v="Make it more simple for everyone to use"/>
    <m/>
  </r>
  <r>
    <d v="2026-06-05T00:00:00"/>
    <x v="6"/>
    <x v="8"/>
    <s v="BUNGOMA"/>
    <s v="BUNGOMA MUSLIM PRIMARY AND JUNIOR SCHOOL"/>
    <n v="40"/>
    <x v="0"/>
    <x v="1"/>
    <x v="1"/>
    <s v="Very Good"/>
    <x v="1"/>
    <x v="1"/>
    <x v="0"/>
    <s v="I had an easy time getting the school"/>
    <s v="The form is fine "/>
    <m/>
    <m/>
  </r>
  <r>
    <d v="2026-06-05T00:00:00"/>
    <x v="8"/>
    <x v="9"/>
    <s v="UASINGISHU"/>
    <s v="MUTWOT PRIMARY AND JSS"/>
    <n v="22"/>
    <x v="2"/>
    <x v="0"/>
    <x v="0"/>
    <s v="Good"/>
    <x v="0"/>
    <x v="0"/>
    <x v="0"/>
    <s v="We are expecting more kids on tap2eat"/>
    <s v="It should have better we we get many kid in our school"/>
    <s v="We can improve by giving the kid what they required"/>
    <s v="We are happy to have many kids being enrollment"/>
  </r>
  <r>
    <d v="2026-06-05T00:00:00"/>
    <x v="4"/>
    <x v="4"/>
    <s v="ATHI RIVERNJIRU"/>
    <s v="GIKABU MWANGAZA PRIMARY"/>
    <n v="23"/>
    <x v="0"/>
    <x v="1"/>
    <x v="1"/>
    <s v="Very Good"/>
    <x v="1"/>
    <x v="1"/>
    <x v="0"/>
    <s v="The admin cooperating with the programs needs"/>
    <s v="Parents failing to top up"/>
    <s v="Sending timely notification to parents with insufficient funds Sponsoring more needy students"/>
    <s v="We are doing our best to ensure all the standards are met and all students are treated as equally and needs catered for"/>
  </r>
  <r>
    <d v="2026-06-05T00:00:00"/>
    <x v="1"/>
    <x v="1"/>
    <s v="KISUMU"/>
    <s v="ANGIRA PRIMARY AND JUNIOR SECONDARY SCHOOL"/>
    <n v="42"/>
    <x v="0"/>
    <x v="0"/>
    <x v="1"/>
    <s v="Very Good"/>
    <x v="1"/>
    <x v="1"/>
    <x v="0"/>
    <s v="Everything was smooth"/>
    <m/>
    <m/>
    <m/>
  </r>
  <r>
    <d v="2026-06-05T00:00:00"/>
    <x v="4"/>
    <x v="4"/>
    <s v="ATHI RIVERNJIRU"/>
    <s v="MIHANGO PRIMARY SCHOOL"/>
    <n v="22"/>
    <x v="0"/>
    <x v="0"/>
    <x v="1"/>
    <s v="Very Good"/>
    <x v="1"/>
    <x v="1"/>
    <x v="0"/>
    <s v="After this week sensitization our numbers have increased incredibly1491 is the highest fed (4th June) ever since the term begun"/>
    <s v="Students coming for tapping earlier would have increased our numbers they come past time finding food already finished"/>
    <s v="An additiol tapper would really help since some kids  avoid our meals or come late for tapping due to the long queues"/>
    <m/>
  </r>
  <r>
    <d v="2026-06-05T00:00:00"/>
    <x v="6"/>
    <x v="8"/>
    <s v="BUNGOMA"/>
    <s v="ST VERONICAH RANJE RC COMPREHENSIVE SCHOOL"/>
    <n v="42"/>
    <x v="0"/>
    <x v="0"/>
    <x v="0"/>
    <s v="Good"/>
    <x v="0"/>
    <x v="0"/>
    <x v="0"/>
    <s v="𝑬𝒗𝒆𝒓𝒚𝒕𝒉𝒊𝒏𝒈 𝒘𝒆𝒏𝒕 𝒘𝒆𝒍𝒍"/>
    <s v="𝑰 𝒕𝒉𝒊𝒏𝒌 𝒂 𝒏𝒐𝒕𝒊𝒇𝒊𝒄𝒂𝒕𝒊𝒐𝒏 𝒄𝒐𝒖𝒍𝒅 𝒃𝒆 𝒎𝒂𝒅𝒆 𝒕𝒐 𝒉𝒆𝒍𝒑 𝒌𝒏𝒐𝒘 𝒊𝒕 𝒉𝒂𝒔 𝒃𝒆𝒆𝒏 𝒓𝒆𝒄𝒆𝒊𝒗𝒆𝒅"/>
    <s v="𝑻𝒐 𝒉𝒆𝒍𝒑 𝒓𝒆𝒅𝒖𝒄𝒆 𝒄𝒂𝒔𝒆𝒔 𝒐𝒇  𝒅𝒐𝒖𝒃𝒍𝒆 𝒔𝒆𝒏𝒅𝒊𝒏𝒈 𝑨𝒍𝒍𝒐𝒘 𝒖𝒔 𝒕𝒐 𝒉𝒂𝒗𝒆 𝒂𝒄𝒄𝒆𝒔𝒔 𝒐𝒗𝒆𝒓 𝒓𝒆𝒄𝒐𝒓𝒅 𝒕𝒉𝒂𝒕 𝒊𝒕 𝒉𝒂𝒔 𝒃𝒆𝒆𝒏 𝒓𝒆𝒄𝒆𝒊𝒗𝒆𝒅"/>
    <s v="𝑵/A"/>
  </r>
  <r>
    <d v="2026-06-05T00:00:00"/>
    <x v="4"/>
    <x v="4"/>
    <s v="ATHI RIVERNJIRU"/>
    <s v="KAYOLE NORTH PRIMARY SCHOOL"/>
    <n v="27"/>
    <x v="0"/>
    <x v="0"/>
    <x v="2"/>
    <s v="Poor"/>
    <x v="2"/>
    <x v="2"/>
    <x v="1"/>
    <s v="It was detailed in data collection"/>
    <s v="The process was not simplified It is quite complex Collecting data on a day to day on grade by grade disrupts normal school operations"/>
    <s v="Attendance to be taken on once in two weeks Make the process simplified"/>
    <m/>
  </r>
  <r>
    <d v="2026-06-05T00:00:00"/>
    <x v="0"/>
    <x v="0"/>
    <s v="LARI"/>
    <s v="DNKIBURI SULMAC SECONDARY SCHOOL"/>
    <n v="32"/>
    <x v="1"/>
    <x v="0"/>
    <x v="0"/>
    <s v="Very Good"/>
    <x v="0"/>
    <x v="1"/>
    <x v="0"/>
    <s v="I am able to track the numbers of students so that I can avoid  under/over projection I can be able to track the the numbers of students feeding with us"/>
    <s v="Sometimes it has a problem to load the link"/>
    <s v="Keep on improving the system"/>
    <m/>
  </r>
  <r>
    <d v="2026-06-05T00:00:00"/>
    <x v="7"/>
    <x v="4"/>
    <s v="ATHI RIVERNJIRU"/>
    <s v="GITHUNGURI JET VIEW PRIMARY"/>
    <n v="27"/>
    <x v="0"/>
    <x v="0"/>
    <x v="0"/>
    <s v="Good"/>
    <x v="0"/>
    <x v="0"/>
    <x v="0"/>
    <s v="The features"/>
    <s v="Saving process"/>
    <s v="Having all data available on the platform"/>
    <m/>
  </r>
  <r>
    <d v="2026-06-05T00:00:00"/>
    <x v="4"/>
    <x v="4"/>
    <s v="ATHI RIVERNJIRU"/>
    <s v="MIHANGO PRIMARY SCHOOL"/>
    <n v="22"/>
    <x v="0"/>
    <x v="0"/>
    <x v="1"/>
    <s v="Very Good"/>
    <x v="1"/>
    <x v="1"/>
    <x v="0"/>
    <s v="Our highest numbers were fed yesterday (4th June) since the term begun"/>
    <s v="Kids coming earlier for tapping would have increased our utilization"/>
    <s v="An additiol tapper would really help since some of the kids come after meals are over or fail to tap due to the long queues"/>
    <s v="Kids enjoy the meals and appreciate the program"/>
  </r>
  <r>
    <d v="2026-06-05T00:00:00"/>
    <x v="4"/>
    <x v="4"/>
    <s v="KAJIADOLANGATA"/>
    <s v="KAREN C PRIMARY AND JUNIOR SCHOOL"/>
    <n v="33"/>
    <x v="0"/>
    <x v="1"/>
    <x v="0"/>
    <s v="Good"/>
    <x v="0"/>
    <x v="0"/>
    <x v="0"/>
    <s v="I was able to get the Data on time without any challengesthe app was also simless"/>
    <s v=" at the moment"/>
    <s v="You can improve on uploading the documents to be atleast many pages to accommodate all the classes to be captured"/>
    <m/>
  </r>
  <r>
    <d v="2026-06-05T00:00:00"/>
    <x v="8"/>
    <x v="9"/>
    <s v="UASINGISHU"/>
    <s v="MUTWOT PRIMARY AND JSS"/>
    <n v="22"/>
    <x v="2"/>
    <x v="0"/>
    <x v="0"/>
    <s v="Good"/>
    <x v="0"/>
    <x v="0"/>
    <x v="0"/>
    <s v="We are expecting slightly enrollment"/>
    <s v="Sometime we get insufficient in tapping"/>
    <s v="We encourage parents to top up"/>
    <s v="Kid are happy about tapped to eat"/>
  </r>
  <r>
    <d v="2026-06-05T00:00:00"/>
    <x v="1"/>
    <x v="1"/>
    <s v="KISUMU"/>
    <s v="KONDELE COMPREHENSIVE SCHOOL"/>
    <n v="28"/>
    <x v="0"/>
    <x v="1"/>
    <x v="0"/>
    <s v="Very Good"/>
    <x v="0"/>
    <x v="1"/>
    <x v="0"/>
    <s v="The admin was cooperative"/>
    <m/>
    <m/>
    <m/>
  </r>
  <r>
    <d v="2026-06-05T00:00:00"/>
    <x v="0"/>
    <x v="0"/>
    <s v="LIMURU 1"/>
    <s v="KIAWANDA PRIMARY SCHOOL"/>
    <n v="23"/>
    <x v="0"/>
    <x v="0"/>
    <x v="1"/>
    <s v="Very Good"/>
    <x v="1"/>
    <x v="1"/>
    <x v="0"/>
    <s v="Auto sum during the excess was great"/>
    <s v="All was well"/>
    <s v="So far so good"/>
    <m/>
  </r>
  <r>
    <d v="2026-06-05T00:00:00"/>
    <x v="9"/>
    <x v="10"/>
    <s v="MURANGA 1"/>
    <s v="KAMUKABI PRIMARY SCHOOL"/>
    <n v="23"/>
    <x v="3"/>
    <x v="0"/>
    <x v="0"/>
    <s v="Good"/>
    <x v="0"/>
    <x v="0"/>
    <x v="0"/>
    <s v="Improvement"/>
    <s v="Lack of data"/>
    <s v="Data"/>
    <s v="Okay"/>
  </r>
  <r>
    <d v="2026-06-05T00:00:00"/>
    <x v="9"/>
    <x v="10"/>
    <s v="MURANGA 1"/>
    <s v="RWATHIA PRIMARY SCHOOL"/>
    <n v="22"/>
    <x v="3"/>
    <x v="0"/>
    <x v="0"/>
    <s v="Good"/>
    <x v="0"/>
    <x v="0"/>
    <x v="0"/>
    <s v="Through campaign the parents have been replacing tags"/>
    <s v="Alert parents early on topping up their accounts through sms"/>
    <s v="By reducing replacement cost"/>
    <s v="Ok"/>
  </r>
  <r>
    <d v="2026-06-05T00:00:00"/>
    <x v="6"/>
    <x v="8"/>
    <s v="BUNGOMA"/>
    <s v="MUPELI DEB PRIMARY SCHOOL"/>
    <n v="25"/>
    <x v="0"/>
    <x v="1"/>
    <x v="1"/>
    <s v="Very Good"/>
    <x v="1"/>
    <x v="1"/>
    <x v="0"/>
    <s v="Easy to compute data"/>
    <s v="No challenge faced"/>
    <m/>
    <s v="The app is easy to use and understand Hence seemless vigation"/>
  </r>
  <r>
    <d v="2026-06-05T00:00:00"/>
    <x v="4"/>
    <x v="6"/>
    <s v="EASTLEIGHSTAREHE"/>
    <s v="PANGANI PRIMARY SCHOOL"/>
    <n v="22"/>
    <x v="0"/>
    <x v="0"/>
    <x v="0"/>
    <s v="Good"/>
    <x v="0"/>
    <x v="0"/>
    <x v="0"/>
    <s v="Data collection was smooth"/>
    <s v="Total Population collection could be rrowed down to be submitted in two weeks"/>
    <s v="Data should be send to ensure easy access"/>
    <m/>
  </r>
  <r>
    <d v="2026-06-05T00:00:00"/>
    <x v="0"/>
    <x v="0"/>
    <s v="GITHUNGURI 2"/>
    <s v="KANJAI COMPREHENSIVE SCHOOL"/>
    <n v="27"/>
    <x v="0"/>
    <x v="0"/>
    <x v="0"/>
    <s v="Poor"/>
    <x v="0"/>
    <x v="2"/>
    <x v="0"/>
    <s v="The information I was given was accurate and on time making it easy for me to complete the task"/>
    <s v="I had a challenge using the app it kept saying failed to send and form not active so I was forced to use the link which was a bit slow"/>
    <s v="Kindly check why the app has a malfunction and why it is failing to send also improve the link"/>
    <s v="The process was successful and helpful"/>
  </r>
  <r>
    <d v="2026-06-05T00:00:00"/>
    <x v="1"/>
    <x v="1"/>
    <s v="KISUMU"/>
    <s v="TIDO PRIMARY AND JUNIOR SCHOOL"/>
    <n v="30"/>
    <x v="0"/>
    <x v="0"/>
    <x v="0"/>
    <s v="Good"/>
    <x v="0"/>
    <x v="0"/>
    <x v="0"/>
    <s v="The administration was cooperative and i was able to get the numbers per grade"/>
    <s v="The coordites for location took time to load"/>
    <s v="The population Data should be collected once in a term and do away with the daily attendance"/>
    <m/>
  </r>
  <r>
    <d v="2026-06-05T00:00:00"/>
    <x v="9"/>
    <x v="10"/>
    <s v="MURANGA 2"/>
    <s v="ELIMAMBO PRIMARY SCHOOL"/>
    <n v="23"/>
    <x v="3"/>
    <x v="0"/>
    <x v="0"/>
    <s v="Good"/>
    <x v="0"/>
    <x v="0"/>
    <x v="0"/>
    <s v="Everything"/>
    <m/>
    <s v="On the Gps"/>
    <m/>
  </r>
  <r>
    <d v="2026-06-05T00:00:00"/>
    <x v="0"/>
    <x v="0"/>
    <s v="LIMURU 2"/>
    <s v="GICHURU BOYS HIGH SCHOOL"/>
    <n v="24"/>
    <x v="1"/>
    <x v="0"/>
    <x v="0"/>
    <s v="Good"/>
    <x v="0"/>
    <x v="0"/>
    <x v="0"/>
    <s v="There was a record of the population before feeding started so it was easier to get it"/>
    <s v="The was no need to collect the population before feeding started because it had already been asked before"/>
    <s v="We should be taking the current population only because sometimes the admin get upset when they are asked the population before feeding started"/>
    <m/>
  </r>
  <r>
    <d v="2026-06-05T00:00:00"/>
    <x v="1"/>
    <x v="1"/>
    <s v="KISUMU"/>
    <s v="ST RAYMONDS PRIMARY"/>
    <n v="19"/>
    <x v="0"/>
    <x v="0"/>
    <x v="1"/>
    <s v="Very Good"/>
    <x v="1"/>
    <x v="1"/>
    <x v="0"/>
    <s v="The tool was easy to use and well elaborate"/>
    <s v=" much it's all good"/>
    <s v="Everything so far is okay"/>
    <m/>
  </r>
  <r>
    <d v="2026-06-05T00:00:00"/>
    <x v="10"/>
    <x v="11"/>
    <s v="NYERI 1"/>
    <s v="GITITU PRIMARY SCHOOL"/>
    <n v="21"/>
    <x v="3"/>
    <x v="0"/>
    <x v="0"/>
    <s v="Very Good"/>
    <x v="0"/>
    <x v="1"/>
    <x v="0"/>
    <s v="It takes a short time to fill"/>
    <s v="The timeline be extended to at least one week"/>
    <s v="It's okey"/>
    <m/>
  </r>
  <r>
    <d v="2026-06-05T00:00:00"/>
    <x v="0"/>
    <x v="0"/>
    <s v="LIMURU 2"/>
    <s v="KINYOGORI PRIMARY SCHOOL"/>
    <n v="24"/>
    <x v="0"/>
    <x v="0"/>
    <x v="0"/>
    <s v="Good"/>
    <x v="0"/>
    <x v="0"/>
    <x v="0"/>
    <s v="Successful data retrieval from the admin who supported me on getting the correct data and a good tool to input the data"/>
    <s v="I think adding graphical representations of the data would make it look more appealing rather than just the numbers shown"/>
    <s v="Graphical representations of current population against others already taken for our comparison"/>
    <m/>
  </r>
  <r>
    <d v="2026-06-05T00:00:00"/>
    <x v="7"/>
    <x v="4"/>
    <s v="ATHI RIVERNJIRU"/>
    <s v="KAANI PRIMARY SCHOOL"/>
    <n v="20"/>
    <x v="0"/>
    <x v="0"/>
    <x v="1"/>
    <s v="Very Good"/>
    <x v="1"/>
    <x v="1"/>
    <x v="0"/>
    <s v="Organized well and optimized properly"/>
    <s v="Dash board"/>
    <s v="Dash board"/>
    <m/>
  </r>
  <r>
    <d v="2026-06-05T00:00:00"/>
    <x v="4"/>
    <x v="4"/>
    <s v="KIBRAWESTLANDS"/>
    <s v="SSD PRIMARY SCHOOL"/>
    <n v="18"/>
    <x v="0"/>
    <x v="0"/>
    <x v="0"/>
    <s v="Good"/>
    <x v="0"/>
    <x v="0"/>
    <x v="0"/>
    <s v="Collecting data"/>
    <s v="I didn't get any challenge"/>
    <s v="Improving on setting exact school location"/>
    <m/>
  </r>
  <r>
    <d v="2026-06-05T00:00:00"/>
    <x v="1"/>
    <x v="1"/>
    <s v="KISUMU"/>
    <s v="KANYAMEDHA COMPREHENSIVE SCHOOL"/>
    <n v="31"/>
    <x v="0"/>
    <x v="0"/>
    <x v="1"/>
    <s v="Very Good"/>
    <x v="1"/>
    <x v="1"/>
    <x v="0"/>
    <s v="Collecting the population per class rather than stream was easier"/>
    <m/>
    <m/>
    <m/>
  </r>
  <r>
    <d v="2026-06-05T00:00:00"/>
    <x v="9"/>
    <x v="10"/>
    <s v="MURANGA 2"/>
    <s v="WANDUHI PRIMARY SCHOOL AND JUNIOR SECONDARY"/>
    <n v="43"/>
    <x v="2"/>
    <x v="0"/>
    <x v="0"/>
    <s v="Good"/>
    <x v="0"/>
    <x v="0"/>
    <x v="0"/>
    <s v="Good relationship with students and teachers"/>
    <s v="Not having a serving shade and a store either Idequate money for purchasing data"/>
    <s v="By allocating a serving shade and a small store and an increase in salary because someone times we are uble to submit some of the information with immediate effect due to idequate money to cater for data all the times"/>
    <m/>
  </r>
  <r>
    <d v="2026-06-05T00:00:00"/>
    <x v="10"/>
    <x v="11"/>
    <s v="NYERI 1"/>
    <s v="KIAMUTIGA PRIMARY SCHOOL"/>
    <n v="24"/>
    <x v="2"/>
    <x v="0"/>
    <x v="0"/>
    <s v="Good"/>
    <x v="0"/>
    <x v="0"/>
    <x v="0"/>
    <s v="Though soft copy"/>
    <s v="Kids enjoying the keal"/>
    <s v="By cooking chapatis"/>
    <s v="No"/>
  </r>
  <r>
    <d v="2026-06-05T00:00:00"/>
    <x v="9"/>
    <x v="10"/>
    <s v="MURANGA 1"/>
    <s v="IYEGO PRIMARY SCHOOL"/>
    <n v="20"/>
    <x v="3"/>
    <x v="0"/>
    <x v="2"/>
    <s v="Poor"/>
    <x v="2"/>
    <x v="2"/>
    <x v="1"/>
    <s v="Data collection was difficult"/>
    <s v="Look for an other altertive"/>
    <s v="No idea"/>
    <s v="Collecting data from the required respondent on daily basis is difficult cuzo they take as if we have became their supervisor"/>
  </r>
  <r>
    <d v="2026-06-05T00:00:00"/>
    <x v="4"/>
    <x v="6"/>
    <s v="EASTLEIGHSTAREHE"/>
    <s v="MATHARI PRIMARY SCHOOL"/>
    <n v="22"/>
    <x v="0"/>
    <x v="0"/>
    <x v="0"/>
    <s v="Good"/>
    <x v="0"/>
    <x v="0"/>
    <x v="0"/>
    <s v="It was great since it add itself with zero error"/>
    <s v="Am good"/>
    <s v="Am good"/>
    <m/>
  </r>
  <r>
    <d v="2026-06-05T00:00:00"/>
    <x v="0"/>
    <x v="0"/>
    <s v="LIMURU 2"/>
    <s v="TIGONI SECONDARY SCHOOL"/>
    <n v="23"/>
    <x v="1"/>
    <x v="0"/>
    <x v="1"/>
    <s v="Very Good"/>
    <x v="1"/>
    <x v="1"/>
    <x v="0"/>
    <s v="Easier data collection it worked well"/>
    <s v="Earlier data taking and version control"/>
    <s v="Improving data safety"/>
    <s v="So far so good"/>
  </r>
  <r>
    <d v="2026-06-05T00:00:00"/>
    <x v="4"/>
    <x v="6"/>
    <s v="EASTLEIGHSTAREHE"/>
    <s v="PARKROAD PRIMARY AND JUNIOR SECONDARY SCHOOL"/>
    <n v="44"/>
    <x v="0"/>
    <x v="0"/>
    <x v="0"/>
    <s v="Good"/>
    <x v="0"/>
    <x v="0"/>
    <x v="0"/>
    <s v="It was swift"/>
    <s v="Didn't face any challenge"/>
    <s v="It's good"/>
    <m/>
  </r>
  <r>
    <d v="2026-06-05T00:00:00"/>
    <x v="10"/>
    <x v="11"/>
    <s v="NYERI 1"/>
    <s v="NYAITHEE PRIMARY SCHOOL"/>
    <n v="23"/>
    <x v="2"/>
    <x v="0"/>
    <x v="0"/>
    <s v="Good"/>
    <x v="0"/>
    <x v="0"/>
    <x v="0"/>
    <s v="Its some how hard but it's good"/>
    <s v="Well send us  a vedio of how to fill the population form"/>
    <s v="Send us a video of how to fill the population form online"/>
    <m/>
  </r>
  <r>
    <d v="2026-06-05T00:00:00"/>
    <x v="4"/>
    <x v="6"/>
    <s v="EASTLEIGHSTAREHE"/>
    <s v="ZIWANI DAY NURSERY ECDE CENTRE"/>
    <n v="30"/>
    <x v="0"/>
    <x v="0"/>
    <x v="1"/>
    <s v="Very Good"/>
    <x v="1"/>
    <x v="1"/>
    <x v="0"/>
    <s v="The process was quick and easy to access while using the tool"/>
    <s v="No challenge faced during the process"/>
    <s v="The program is already doing so well from my own point of view I haven't noticed or had any negative feedback concerning the program either from the Center mager or from the parents"/>
    <m/>
  </r>
  <r>
    <d v="2026-06-05T00:00:00"/>
    <x v="6"/>
    <x v="8"/>
    <s v="BUNGOMA"/>
    <s v="KITINDA RC PRIMARY AND JUNIOR SCHOOL"/>
    <n v="36"/>
    <x v="0"/>
    <x v="1"/>
    <x v="1"/>
    <s v="Very Good"/>
    <x v="1"/>
    <x v="1"/>
    <x v="0"/>
    <s v="I was able to know easily the school population"/>
    <m/>
    <s v="It's just ok"/>
    <m/>
  </r>
  <r>
    <d v="2026-06-05T00:00:00"/>
    <x v="4"/>
    <x v="6"/>
    <s v="EMBAKASI"/>
    <s v="MUREMA PRIMARY SCHOOL"/>
    <n v="21"/>
    <x v="0"/>
    <x v="1"/>
    <x v="0"/>
    <s v="Good"/>
    <x v="0"/>
    <x v="0"/>
    <x v="0"/>
    <s v="It is easy to use and also it keeps track of the information filled just for when I needed to log off and then I'd come back again to continue filling"/>
    <s v="With the app didn't have much challenges but with the link it kept on lagging"/>
    <s v="I am generally satisfied so I wouldn't have alot of points to improve on"/>
    <m/>
  </r>
  <r>
    <d v="2026-06-05T00:00:00"/>
    <x v="10"/>
    <x v="11"/>
    <s v="NYERI 1"/>
    <s v="MIAGAYUINI COMPREHENSIVE SCHOOL"/>
    <n v="31"/>
    <x v="3"/>
    <x v="0"/>
    <x v="1"/>
    <s v="Very Good"/>
    <x v="1"/>
    <x v="1"/>
    <x v="0"/>
    <s v="The update of school population"/>
    <s v="Day to day  enrolment"/>
    <s v="Atleast we correct the data on Monday &amp; Friday due to inconvenience"/>
    <s v="Together we can do more"/>
  </r>
  <r>
    <d v="2026-06-05T00:00:00"/>
    <x v="6"/>
    <x v="8"/>
    <s v="BUNGOMA"/>
    <s v="BUKACHI FYM PRIMARY AND JUNIOR SCHOOL"/>
    <n v="37"/>
    <x v="0"/>
    <x v="0"/>
    <x v="1"/>
    <s v="Very Good"/>
    <x v="1"/>
    <x v="1"/>
    <x v="0"/>
    <s v="The population was collected well class per class There was no errors during collection compared to last term"/>
    <s v="Main challenge was school dropout and transfers During collection some kids were absent and we had assurances that they will report back"/>
    <s v="To improve on this we need to have more time on collection of population"/>
    <s v="I comment that the work is good and program has really loved by many"/>
  </r>
  <r>
    <d v="2026-06-05T00:00:00"/>
    <x v="9"/>
    <x v="10"/>
    <s v="MURANGA 2"/>
    <s v="THARE PRIMARY AND JUNIOR SECONDARY SCHOOL"/>
    <n v="41"/>
    <x v="3"/>
    <x v="1"/>
    <x v="0"/>
    <s v="Good"/>
    <x v="0"/>
    <x v="0"/>
    <x v="0"/>
    <s v="The population collection went well"/>
    <s v="Filling the form once in  a week"/>
    <s v="We can choose a day to be filling the form"/>
    <s v="No"/>
  </r>
  <r>
    <d v="2026-06-05T00:00:00"/>
    <x v="9"/>
    <x v="10"/>
    <s v="MURANGA 1"/>
    <s v="WEITHAGA PRIMARY SCHOOL"/>
    <n v="23"/>
    <x v="3"/>
    <x v="0"/>
    <x v="1"/>
    <s v="Good"/>
    <x v="1"/>
    <x v="0"/>
    <x v="0"/>
    <s v="97 best option"/>
    <s v="03 sometimes delays"/>
    <s v="A bit more"/>
    <m/>
  </r>
  <r>
    <d v="2026-06-05T00:00:00"/>
    <x v="10"/>
    <x v="11"/>
    <s v="NYERI 1"/>
    <s v="KIHINGO PRIMARY SCHOOL"/>
    <n v="22"/>
    <x v="2"/>
    <x v="0"/>
    <x v="0"/>
    <s v="Very Good"/>
    <x v="0"/>
    <x v="1"/>
    <x v="0"/>
    <s v="Makes work easiersaves time"/>
    <s v="Use alot of data"/>
    <s v="Kindly add some data to us"/>
    <s v="No"/>
  </r>
  <r>
    <d v="2026-06-05T00:00:00"/>
    <x v="0"/>
    <x v="0"/>
    <s v="LIMURU 2"/>
    <s v="RWAKA PRIMARY SCHOOL"/>
    <n v="20"/>
    <x v="0"/>
    <x v="0"/>
    <x v="0"/>
    <s v="Good"/>
    <x v="0"/>
    <x v="0"/>
    <x v="0"/>
    <s v="Head counting"/>
    <s v="Sometimes learners are sent home without the being notified"/>
    <s v="Effective and efficient communication from the administration should be enhanced"/>
    <m/>
  </r>
  <r>
    <d v="2026-06-05T00:00:00"/>
    <x v="4"/>
    <x v="4"/>
    <s v="DAGORETTIWESTLANDS"/>
    <s v="KAGIRA PRIMARY AND JUNIOR SECONDARY SCHOOL"/>
    <n v="42"/>
    <x v="0"/>
    <x v="0"/>
    <x v="0"/>
    <s v="Very Good"/>
    <x v="0"/>
    <x v="1"/>
    <x v="0"/>
    <s v="Able to track my students turn out  able to collect data on time"/>
    <s v="Slow internet affected data entry"/>
    <s v="Provide offline data entry option"/>
    <s v="Overall the process was smooth and helped in monitoring students attendance"/>
  </r>
  <r>
    <d v="2026-06-05T00:00:00"/>
    <x v="4"/>
    <x v="4"/>
    <s v="DAGORETTIWESTLANDS"/>
    <s v="THE KINYANJUI ROAD PRIMARY SCHOOL"/>
    <n v="33"/>
    <x v="0"/>
    <x v="0"/>
    <x v="0"/>
    <s v="Good"/>
    <x v="0"/>
    <x v="0"/>
    <x v="0"/>
    <s v="They school admin was cooperative"/>
    <s v="Everything was okay just had challanges with location"/>
    <m/>
    <m/>
  </r>
  <r>
    <d v="2026-06-05T00:00:00"/>
    <x v="0"/>
    <x v="2"/>
    <s v="KIKUYU"/>
    <s v="KANYANJARA PRIMARY AND JUNIOR SCHOOL"/>
    <n v="36"/>
    <x v="0"/>
    <x v="0"/>
    <x v="0"/>
    <s v="Good"/>
    <x v="0"/>
    <x v="0"/>
    <x v="0"/>
    <s v="Since I had been taken through the training I found it workable"/>
    <m/>
    <s v="I feel the process was ok though my termil only allowed me to do it online"/>
    <s v="For me to do it offline next time my Kobo app is requesting for authentication"/>
  </r>
  <r>
    <d v="2026-06-05T00:00:00"/>
    <x v="9"/>
    <x v="10"/>
    <s v="MURANGA 2"/>
    <s v="GIATUTU PRIMARY AND JSS"/>
    <n v="23"/>
    <x v="2"/>
    <x v="0"/>
    <x v="3"/>
    <s v="Good"/>
    <x v="3"/>
    <x v="0"/>
    <x v="1"/>
    <s v="It went well"/>
    <s v="Network"/>
    <s v="Network connection"/>
    <s v="It's was good though"/>
  </r>
  <r>
    <d v="2026-06-05T00:00:00"/>
    <x v="0"/>
    <x v="0"/>
    <s v="LARI"/>
    <s v="GITITHIA SECONDARY SCHOOL"/>
    <n v="25"/>
    <x v="1"/>
    <x v="0"/>
    <x v="0"/>
    <s v="Good"/>
    <x v="0"/>
    <x v="0"/>
    <x v="0"/>
    <s v="The school was cooperative in giving the numbers"/>
    <s v=" I can think of"/>
    <s v="Better Support"/>
    <m/>
  </r>
  <r>
    <d v="2026-06-05T00:00:00"/>
    <x v="4"/>
    <x v="4"/>
    <s v="DAGORETTIWESTLANDS"/>
    <s v="KIRIGU PRIMARY AND JUNIOR SCHOOL"/>
    <n v="32"/>
    <x v="0"/>
    <x v="0"/>
    <x v="1"/>
    <s v="Very Good"/>
    <x v="1"/>
    <x v="1"/>
    <x v="0"/>
    <s v="Collecting the data was easier because the deputy head of institution assisted me to get accurate data Also I didn't encounter any challenges while filling in"/>
    <s v="Everything was perfect"/>
    <m/>
    <m/>
  </r>
  <r>
    <d v="2026-06-05T00:00:00"/>
    <x v="1"/>
    <x v="1"/>
    <s v="KISUMU"/>
    <s v="ACK DIOCESE OF MASENO SOUTH EZRA GUMBE COMPREHENSIVE SCHOOL"/>
    <n v="59"/>
    <x v="0"/>
    <x v="1"/>
    <x v="1"/>
    <s v="Very Good"/>
    <x v="1"/>
    <x v="1"/>
    <x v="0"/>
    <s v="Kobo was easy to use"/>
    <s v="Everything was perfect"/>
    <m/>
    <s v="Data collection was collected successfully ii didn't experience any challenges"/>
  </r>
  <r>
    <d v="2026-06-05T00:00:00"/>
    <x v="6"/>
    <x v="8"/>
    <s v="BUNGOMA"/>
    <s v="SAMOYA RC PRIMARY SCHOOL"/>
    <n v="24"/>
    <x v="0"/>
    <x v="1"/>
    <x v="0"/>
    <s v="Good"/>
    <x v="0"/>
    <x v="0"/>
    <x v="0"/>
    <s v="It's simple to use it"/>
    <m/>
    <m/>
    <m/>
  </r>
  <r>
    <d v="2026-06-05T00:00:00"/>
    <x v="0"/>
    <x v="0"/>
    <s v="LIMURU 2"/>
    <s v="NGUIRUBI SECONDARY SCHOOL"/>
    <n v="25"/>
    <x v="1"/>
    <x v="1"/>
    <x v="1"/>
    <s v="Good"/>
    <x v="1"/>
    <x v="0"/>
    <x v="0"/>
    <s v="Teachers support was there and it helped a lotTeamwork among the staffsOrganisation and scheduling where by data collection was done class by class with minimal disruptions to lesson"/>
    <s v="It could have better when you PDAs stay with every population of each school that is before the programme started so when it comes to collect the kobo you just give out because when the admins are reshuffled it becomes harder to get the population"/>
    <s v="Improvement on the students who have transferred to be no more counted from the school they were"/>
    <s v="Great improvement so far"/>
  </r>
  <r>
    <d v="2026-06-05T00:00:00"/>
    <x v="6"/>
    <x v="8"/>
    <s v="BUNGOMA"/>
    <s v="SIKATA RC PRIMARY AND JUNIOR SCHOOL"/>
    <n v="35"/>
    <x v="0"/>
    <x v="1"/>
    <x v="1"/>
    <s v="Very Good"/>
    <x v="1"/>
    <x v="1"/>
    <x v="0"/>
    <s v="Grade by grade data insertion"/>
    <s v="Class Sum to be calculated"/>
    <s v="At the moment it's much well"/>
    <s v="The app is user friendly"/>
  </r>
  <r>
    <d v="2026-06-05T00:00:00"/>
    <x v="10"/>
    <x v="11"/>
    <s v="NYERI 1"/>
    <s v="HUHOINI COMPREHENSIVE SCHOOL"/>
    <n v="28"/>
    <x v="2"/>
    <x v="0"/>
    <x v="2"/>
    <s v="Good"/>
    <x v="2"/>
    <x v="0"/>
    <x v="1"/>
    <s v="Filling was easy but location failed"/>
    <s v="If the location worked out easily"/>
    <s v="Making the location part easier or excluding it it's a big challenge"/>
    <s v="Getting the location was my major challenge it never went through after many trials"/>
  </r>
  <r>
    <d v="2026-06-05T00:00:00"/>
    <x v="4"/>
    <x v="6"/>
    <s v="EASTLEIGHSTAREHE"/>
    <s v="NGARA EAST DAY NURSERY"/>
    <n v="22"/>
    <x v="0"/>
    <x v="0"/>
    <x v="1"/>
    <s v="Very Good"/>
    <x v="1"/>
    <x v="1"/>
    <x v="0"/>
    <s v="Very efficient and easy to answer the questions"/>
    <s v="The tool is good"/>
    <s v="Increase it efficiency by making more easy to use"/>
    <m/>
  </r>
  <r>
    <d v="2026-06-05T00:00:00"/>
    <x v="1"/>
    <x v="1"/>
    <s v="KISUMU"/>
    <s v="ST PAUL'S KANYAKWAR COMPREHENSIVE SCHOOL"/>
    <n v="40"/>
    <x v="0"/>
    <x v="1"/>
    <x v="1"/>
    <s v="Very Good"/>
    <x v="1"/>
    <x v="1"/>
    <x v="0"/>
    <s v="The whole process was delicious easy"/>
    <s v="There was no challenge"/>
    <s v="To make the process continuous without breaks"/>
    <s v="s"/>
  </r>
  <r>
    <d v="2026-06-05T00:00:00"/>
    <x v="10"/>
    <x v="11"/>
    <s v="NYERI 1"/>
    <s v="KARIGUINI PRIMARY"/>
    <n v="17"/>
    <x v="2"/>
    <x v="0"/>
    <x v="0"/>
    <s v="Good"/>
    <x v="0"/>
    <x v="0"/>
    <x v="0"/>
    <s v="Data collection went well"/>
    <s v="If data collection is not done daily"/>
    <s v="It would be better if data collection is taken once in a week since the administration says it doesn't collect data on daily bases"/>
    <m/>
  </r>
  <r>
    <d v="2026-06-05T00:00:00"/>
    <x v="0"/>
    <x v="2"/>
    <s v="KABETE"/>
    <s v="WANGUNYU COMPREHENSIVE SCHOOL"/>
    <n v="29"/>
    <x v="0"/>
    <x v="0"/>
    <x v="1"/>
    <s v="Very Good"/>
    <x v="1"/>
    <x v="1"/>
    <x v="0"/>
    <s v="The tool is easy to use"/>
    <s v="There was a challenge when collecting the GPS"/>
    <m/>
    <m/>
  </r>
  <r>
    <d v="2026-06-05T00:00:00"/>
    <x v="6"/>
    <x v="8"/>
    <s v="BUNGOMA"/>
    <s v="ST MARY'S KIBABII BOYS COMPREHENSIVE SCHOOL"/>
    <n v="43"/>
    <x v="0"/>
    <x v="1"/>
    <x v="1"/>
    <s v="Very Good"/>
    <x v="1"/>
    <x v="1"/>
    <x v="0"/>
    <s v="Easy to execute tasksIt's also fast"/>
    <m/>
    <m/>
    <m/>
  </r>
  <r>
    <d v="2026-06-05T00:00:00"/>
    <x v="9"/>
    <x v="10"/>
    <s v="MURANGA 2"/>
    <s v="THUITA PRIMARY SCHOOL"/>
    <n v="21"/>
    <x v="2"/>
    <x v="1"/>
    <x v="0"/>
    <s v="Good"/>
    <x v="0"/>
    <x v="0"/>
    <x v="0"/>
    <s v="The headteacher coparated"/>
    <s v="No challenge faced"/>
    <s v="To me everything is fine"/>
    <m/>
  </r>
  <r>
    <d v="2026-06-05T00:00:00"/>
    <x v="4"/>
    <x v="4"/>
    <s v="ATHI RIVERNJIRU"/>
    <s v="OUR LADY OF ZARETH PRIMARY"/>
    <n v="26"/>
    <x v="0"/>
    <x v="1"/>
    <x v="0"/>
    <s v="Good"/>
    <x v="0"/>
    <x v="0"/>
    <x v="0"/>
    <s v="Easy to input"/>
    <m/>
    <m/>
    <m/>
  </r>
  <r>
    <d v="2026-06-05T00:00:00"/>
    <x v="4"/>
    <x v="6"/>
    <s v="KASARANI"/>
    <s v="KAMITI PRIMARY SCHOOL"/>
    <n v="21"/>
    <x v="0"/>
    <x v="0"/>
    <x v="1"/>
    <s v="Very Good"/>
    <x v="1"/>
    <x v="1"/>
    <x v="0"/>
    <s v="Easier way of data entry"/>
    <s v="Keep doing it as you are"/>
    <s v="Any advancing idea will be welcomed"/>
    <s v="Glad that you asked"/>
  </r>
  <r>
    <d v="2026-06-05T00:00:00"/>
    <x v="4"/>
    <x v="4"/>
    <s v="DAGORETTIWESTLANDS"/>
    <s v="RIRUTA SATELLITE PRIMARY AND JUNIOR SCHOOL"/>
    <n v="42"/>
    <x v="0"/>
    <x v="0"/>
    <x v="0"/>
    <s v="Good"/>
    <x v="0"/>
    <x v="0"/>
    <x v="0"/>
    <s v="The data collection was easier because of the automatic update system"/>
    <s v="N_A"/>
    <m/>
    <m/>
  </r>
  <r>
    <d v="2026-06-05T00:00:00"/>
    <x v="0"/>
    <x v="0"/>
    <s v="GITHUNGURI 2"/>
    <s v="GIATHIEKO COMPREHENSIVE SCHOOL"/>
    <n v="30"/>
    <x v="0"/>
    <x v="0"/>
    <x v="0"/>
    <s v="Good"/>
    <x v="0"/>
    <x v="0"/>
    <x v="0"/>
    <s v="It was easy simple and saves on time"/>
    <m/>
    <m/>
    <m/>
  </r>
  <r>
    <d v="2026-06-05T00:00:00"/>
    <x v="9"/>
    <x v="10"/>
    <s v="MURANGA 2"/>
    <s v="ITHANG'ARARI PRIMARY AND JSS"/>
    <n v="28"/>
    <x v="2"/>
    <x v="0"/>
    <x v="0"/>
    <s v="Good"/>
    <x v="0"/>
    <x v="0"/>
    <x v="0"/>
    <s v="Everything"/>
    <s v="No challenges"/>
    <s v="its good"/>
    <m/>
  </r>
  <r>
    <d v="2026-06-05T00:00:00"/>
    <x v="9"/>
    <x v="10"/>
    <s v="MURANGA 1"/>
    <s v="WANJERERE PRIMARY SCHOOL"/>
    <n v="24"/>
    <x v="3"/>
    <x v="0"/>
    <x v="0"/>
    <s v="Good"/>
    <x v="0"/>
    <x v="0"/>
    <x v="0"/>
    <s v="From the FPO to AOO chain of commands now the work is easier"/>
    <s v="Make parents understand what is Tap2eat"/>
    <s v="We work so closely with teacherseducate parents in meetings about Tap2eat"/>
    <s v="Glad to work with you "/>
  </r>
  <r>
    <d v="2026-06-05T00:00:00"/>
    <x v="0"/>
    <x v="0"/>
    <s v="GITHUNGURI 1"/>
    <s v="GIKANG'A KAGECHE SECONDARY SCHOOL"/>
    <n v="33"/>
    <x v="1"/>
    <x v="0"/>
    <x v="0"/>
    <s v="Good"/>
    <x v="0"/>
    <x v="0"/>
    <x v="0"/>
    <s v="Number of students remained constant"/>
    <s v="Manual deductions (students losing their tag and parent  refusing to make payments for replacement)"/>
    <s v="Bring fruits more often Still students complain about beans they prefer cowpeas"/>
    <m/>
  </r>
  <r>
    <d v="2026-06-05T00:00:00"/>
    <x v="9"/>
    <x v="10"/>
    <s v="MURANGA 1"/>
    <s v="WANJERERE PRIMARY SCHOOL"/>
    <n v="24"/>
    <x v="3"/>
    <x v="0"/>
    <x v="0"/>
    <s v="Good"/>
    <x v="0"/>
    <x v="0"/>
    <x v="0"/>
    <s v="From  the  fpo to Aoo now  magement  goes  well"/>
    <s v="Make parents  understand  what is  taps 2eat"/>
    <s v="We work closely with  teachers"/>
    <s v="Happy  working with you "/>
  </r>
  <r>
    <d v="2026-06-05T00:00:00"/>
    <x v="4"/>
    <x v="6"/>
    <s v="EASTLEIGHSTAREHE"/>
    <s v="SHAURI MOYO DAY NURSERY"/>
    <n v="23"/>
    <x v="0"/>
    <x v="0"/>
    <x v="1"/>
    <s v="Very Good"/>
    <x v="1"/>
    <x v="1"/>
    <x v="0"/>
    <s v="Feeding kids"/>
    <s v="Feeding the future"/>
    <s v="BY changing rice with something else"/>
    <s v="The food is nutritious and good for children"/>
  </r>
  <r>
    <d v="2026-06-05T00:00:00"/>
    <x v="0"/>
    <x v="0"/>
    <s v="LIMURU 2"/>
    <s v="RIRONI SECONDARY SCHOOL"/>
    <n v="23"/>
    <x v="1"/>
    <x v="0"/>
    <x v="0"/>
    <s v="Good"/>
    <x v="0"/>
    <x v="0"/>
    <x v="0"/>
    <s v="Cooperation good rapport communication"/>
    <s v="I don't have any challenges collecting the data"/>
    <s v="The system is okay "/>
    <m/>
  </r>
  <r>
    <d v="2026-06-05T00:00:00"/>
    <x v="9"/>
    <x v="10"/>
    <s v="MURANGA 2"/>
    <s v="NDAKAINI PRIMARY SCHOOL"/>
    <n v="23"/>
    <x v="3"/>
    <x v="0"/>
    <x v="0"/>
    <s v="Good"/>
    <x v="0"/>
    <x v="0"/>
    <x v="0"/>
    <s v="It was easy to fill"/>
    <s v="Given ample time to collect the data"/>
    <s v="Notifying administration about information needed before sending us to the office"/>
    <m/>
  </r>
  <r>
    <d v="2026-06-05T00:00:00"/>
    <x v="3"/>
    <x v="5"/>
    <s v="KAKAMEGA"/>
    <s v="EMUKABA PRIMARY SCHOOL"/>
    <n v="22"/>
    <x v="0"/>
    <x v="1"/>
    <x v="1"/>
    <s v="Very Good"/>
    <x v="1"/>
    <x v="1"/>
    <x v="0"/>
    <s v="Filling in the data wasn't tedious"/>
    <s v="Using the app is better already"/>
    <s v=" for now"/>
    <m/>
  </r>
  <r>
    <d v="2026-06-05T00:00:00"/>
    <x v="9"/>
    <x v="10"/>
    <s v="MURANGA 1"/>
    <s v="GATHAITHI UPPER PRIMARY SCHOOL"/>
    <n v="30"/>
    <x v="3"/>
    <x v="1"/>
    <x v="0"/>
    <s v="Good"/>
    <x v="0"/>
    <x v="0"/>
    <x v="0"/>
    <s v="By use of the admin"/>
    <s v="The same"/>
    <s v="By communicating with admin"/>
    <s v="The students have been enjoying the food"/>
  </r>
  <r>
    <d v="2026-06-05T00:00:00"/>
    <x v="4"/>
    <x v="6"/>
    <s v="KASARANI"/>
    <s v="DANDORA DAY NURSERY"/>
    <n v="19"/>
    <x v="0"/>
    <x v="0"/>
    <x v="0"/>
    <s v="Good"/>
    <x v="0"/>
    <x v="0"/>
    <x v="0"/>
    <s v="It was easy to identify kids who are not feeding"/>
    <s v="Show data for failed taps"/>
    <s v="It's ok"/>
    <m/>
  </r>
  <r>
    <d v="2026-06-05T00:00:00"/>
    <x v="4"/>
    <x v="4"/>
    <s v="DAGORETTIWESTLANDS"/>
    <s v="MUKARARA HIGHSCHOOL"/>
    <n v="19"/>
    <x v="1"/>
    <x v="0"/>
    <x v="1"/>
    <s v="Very Good"/>
    <x v="1"/>
    <x v="1"/>
    <x v="0"/>
    <s v="It was really smooth to use"/>
    <s v="The fact that someone can use it online and offline I think it's perfect"/>
    <s v="Guide to help the person who is filling it"/>
    <s v="Overall it was great"/>
  </r>
  <r>
    <d v="2026-06-05T00:00:00"/>
    <x v="9"/>
    <x v="10"/>
    <s v="MURANGA 1"/>
    <s v="GATHAITHI UPPER PRIMARY SCHOOL"/>
    <n v="30"/>
    <x v="3"/>
    <x v="0"/>
    <x v="0"/>
    <s v="Poor"/>
    <x v="0"/>
    <x v="2"/>
    <x v="0"/>
    <s v="Everything"/>
    <s v="On date"/>
    <s v="No"/>
    <s v="The students have been enjoying the food"/>
  </r>
  <r>
    <d v="2026-06-05T00:00:00"/>
    <x v="4"/>
    <x v="4"/>
    <s v="DAGORETTIWESTLANDS"/>
    <s v="RIRUTA HGM PRIMARY SCHOOL"/>
    <n v="25"/>
    <x v="0"/>
    <x v="0"/>
    <x v="0"/>
    <s v="Very Good"/>
    <x v="0"/>
    <x v="1"/>
    <x v="0"/>
    <s v="During data collection the admin was very supportive While in need anything concerning data admin and teachers are very supportive"/>
    <s v="At the beginning its was challenging but now is effective"/>
    <s v="While visiting school kindly talk to admin in importance of data collection"/>
    <s v="But daily attendance is somehow challenging because at time you class teacher is absent and you end up head counting"/>
  </r>
  <r>
    <d v="2026-06-05T00:00:00"/>
    <x v="0"/>
    <x v="0"/>
    <s v="GITHUNGURI 1"/>
    <s v="KIAIBABU PRIMARY SCHOOL"/>
    <n v="23"/>
    <x v="0"/>
    <x v="0"/>
    <x v="0"/>
    <s v="Good"/>
    <x v="0"/>
    <x v="0"/>
    <x v="0"/>
    <s v="It's simple to use"/>
    <s v="Good as it is"/>
    <s v="Good as it is"/>
    <m/>
  </r>
  <r>
    <d v="2026-06-05T00:00:00"/>
    <x v="4"/>
    <x v="6"/>
    <s v="KASARANI"/>
    <s v="ROLD NGALA PRIMARY AND JUNIOR SECONDARY SCHOOL"/>
    <n v="46"/>
    <x v="0"/>
    <x v="0"/>
    <x v="0"/>
    <s v="Good"/>
    <x v="0"/>
    <x v="0"/>
    <x v="0"/>
    <s v="It was easier to key in the figures as well as the summations"/>
    <m/>
    <s v="All good"/>
    <m/>
  </r>
  <r>
    <d v="2026-06-05T00:00:00"/>
    <x v="4"/>
    <x v="4"/>
    <s v="KAJIADOLANGATA"/>
    <s v="NGONG FOREST PRIMARY SCHOOL"/>
    <n v="27"/>
    <x v="0"/>
    <x v="0"/>
    <x v="1"/>
    <s v="Very Good"/>
    <x v="1"/>
    <x v="1"/>
    <x v="0"/>
    <s v="The system is well working "/>
    <s v="Everything is good"/>
    <m/>
    <s v="No"/>
  </r>
  <r>
    <d v="2026-06-05T00:00:00"/>
    <x v="4"/>
    <x v="4"/>
    <s v="DAGORETTIWESTLANDS"/>
    <s v="DR MUTHIORA PRIMARY AND JUNIOR SECONDARY SCHOOL"/>
    <n v="47"/>
    <x v="0"/>
    <x v="0"/>
    <x v="0"/>
    <s v="Good"/>
    <x v="0"/>
    <x v="0"/>
    <x v="0"/>
    <s v="The admin was cooperative making the exercise seamless"/>
    <s v="Allow more than document to be uploaded as evidence because the admin sometimes gives the primary and JSS data on different pages"/>
    <s v="If the tool can allow adding more than one document since the school offers the data on different pages like the primary section and the JSS section"/>
    <m/>
  </r>
  <r>
    <d v="2026-06-05T00:00:00"/>
    <x v="4"/>
    <x v="4"/>
    <s v="DAGORETTIWESTLANDS"/>
    <s v="DAGORETTI MUSLIM PRIMARY AND JUNIOR SECONDARY SCHOOL"/>
    <n v="52"/>
    <x v="0"/>
    <x v="0"/>
    <x v="0"/>
    <s v="Good"/>
    <x v="0"/>
    <x v="0"/>
    <x v="0"/>
    <s v="I was able to know the number of kids in my school and identify those who don't eat with us"/>
    <s v="Atlist we don't repeat the same process everyday"/>
    <s v="Keep the records for reference whenever needed"/>
    <m/>
  </r>
  <r>
    <d v="2026-06-05T00:00:00"/>
    <x v="6"/>
    <x v="8"/>
    <s v="BUNGOMA"/>
    <s v="SINOKO DEB PRIMARY AND JUNIOR SCHOOL"/>
    <n v="36"/>
    <x v="0"/>
    <x v="1"/>
    <x v="0"/>
    <s v="Good"/>
    <x v="0"/>
    <x v="0"/>
    <x v="0"/>
    <s v="Population data collection went well because I was helped by class teacher to gather data and used app to fill the data which was ok"/>
    <s v="Kobotool  App is the best because it is  easy to fill"/>
    <m/>
    <m/>
  </r>
  <r>
    <d v="2026-06-05T00:00:00"/>
    <x v="0"/>
    <x v="3"/>
    <s v="KIAMBU"/>
    <s v="ST ANN AND JOAKIM SECONDARY SCHOOL"/>
    <n v="34"/>
    <x v="1"/>
    <x v="0"/>
    <x v="1"/>
    <s v="Very Good"/>
    <x v="1"/>
    <x v="1"/>
    <x v="0"/>
    <s v="I was able to take every detail and actual numbers from the school"/>
    <s v="Involve every class teacher for more information about the numbers"/>
    <s v="Inform the adminstration for accurate information"/>
    <m/>
  </r>
  <r>
    <d v="2026-06-05T00:00:00"/>
    <x v="9"/>
    <x v="10"/>
    <s v="MURANGA 1"/>
    <s v="IYEGO PRIMARY SCHOOL"/>
    <n v="20"/>
    <x v="3"/>
    <x v="0"/>
    <x v="0"/>
    <s v="Good"/>
    <x v="0"/>
    <x v="0"/>
    <x v="0"/>
    <s v="It make work easierquick to feed informationData protection ie third party can't access data"/>
    <s v="Collecting some information especially on daily basis eg school attendance is difficult because is like we are taking a role of their superior's"/>
    <s v="Come up with better process that can be used to collect school attendance"/>
    <s v="The process is awesome maintain it"/>
  </r>
  <r>
    <d v="2026-06-05T00:00:00"/>
    <x v="4"/>
    <x v="4"/>
    <s v="DAGORETTIWESTLANDS"/>
    <s v="KAGIRA HIGH"/>
    <n v="11"/>
    <x v="1"/>
    <x v="0"/>
    <x v="0"/>
    <s v="Good"/>
    <x v="0"/>
    <x v="0"/>
    <x v="0"/>
    <s v="The school refused to give out the details"/>
    <s v="For me I have not participated but I believe it's good"/>
    <s v="I would love to take a step and talk to the school adminstration on how important it is for her to allow me participate in this"/>
    <m/>
  </r>
  <r>
    <d v="2026-06-05T00:00:00"/>
    <x v="4"/>
    <x v="6"/>
    <s v="KASARANI"/>
    <s v="WANGU PRIMARY AND JUNIOR SCHOOL ECDE CENTRE AND SPECIAL UNIT"/>
    <n v="60"/>
    <x v="0"/>
    <x v="1"/>
    <x v="0"/>
    <s v="Poor"/>
    <x v="0"/>
    <x v="2"/>
    <x v="0"/>
    <s v="I submitted my data via kobo collect app successfully"/>
    <s v="Improve on drop down mostly sub  county county  abd picking school on persol phone"/>
    <s v="Prefer we continue with working with kobo app not link "/>
    <s v="I had challenge in filing the data using my persol phone because I refreshed the link but no drop down for sub region and school"/>
  </r>
  <r>
    <d v="2026-06-05T00:00:00"/>
    <x v="9"/>
    <x v="10"/>
    <s v="MURANGA 1"/>
    <s v="NGINDA PRIMARY SCHOOL"/>
    <n v="21"/>
    <x v="3"/>
    <x v="0"/>
    <x v="1"/>
    <s v="Very Good"/>
    <x v="1"/>
    <x v="1"/>
    <x v="0"/>
    <s v="The great thing is that we appreciate your support wins we have learnt more mostly on the new AppSheet hoping for better days to win together"/>
    <s v="The only challenge is that some students have been affected by the cowpeas but  most of them enjoyed"/>
    <s v="Continue with same spirit"/>
    <s v="No"/>
  </r>
  <r>
    <d v="2026-06-05T00:00:00"/>
    <x v="0"/>
    <x v="0"/>
    <s v="LIMURU 1"/>
    <s v="NDERU PRIMARY SCHOOL"/>
    <n v="20"/>
    <x v="0"/>
    <x v="1"/>
    <x v="1"/>
    <s v="Very Good"/>
    <x v="1"/>
    <x v="1"/>
    <x v="0"/>
    <s v="It worked effectively without fail or delay"/>
    <m/>
    <m/>
    <m/>
  </r>
  <r>
    <d v="2026-06-05T00:00:00"/>
    <x v="4"/>
    <x v="4"/>
    <s v="KAJIADOLANGATA"/>
    <s v="NGEI PRIMARY SCHOOL"/>
    <n v="19"/>
    <x v="0"/>
    <x v="0"/>
    <x v="0"/>
    <s v="Good"/>
    <x v="0"/>
    <x v="0"/>
    <x v="0"/>
    <s v="Once access the was possible the process was a bit smooth"/>
    <s v="Direct link of the app"/>
    <s v="It was tedious opening up the app"/>
    <m/>
  </r>
  <r>
    <d v="2026-06-05T00:00:00"/>
    <x v="0"/>
    <x v="0"/>
    <s v="LIMURU 2"/>
    <s v="KIAWAROGA PRIMARY SCHOOL"/>
    <n v="24"/>
    <x v="0"/>
    <x v="0"/>
    <x v="0"/>
    <s v="Good"/>
    <x v="0"/>
    <x v="0"/>
    <x v="0"/>
    <s v="Easy to maneuver"/>
    <s v="No challenges faced"/>
    <s v="So far so good"/>
    <m/>
  </r>
  <r>
    <d v="2026-06-05T00:00:00"/>
    <x v="7"/>
    <x v="4"/>
    <s v="ATHI RIVERNJIRU"/>
    <s v="KWA MANGELI PRIMARY SCHOOL"/>
    <n v="26"/>
    <x v="0"/>
    <x v="0"/>
    <x v="0"/>
    <s v="Good"/>
    <x v="0"/>
    <x v="0"/>
    <x v="0"/>
    <s v="It was simple and clearNo struggling while using it"/>
    <s v="For me there were no challenges"/>
    <s v="We be doing this thing twice a term since after conducting it there are some kids who join later as new comers and others transfer to other schools  interfering with the numbers"/>
    <m/>
  </r>
  <r>
    <d v="2026-06-05T00:00:00"/>
    <x v="9"/>
    <x v="10"/>
    <s v="MURANGA 1"/>
    <s v="KAREGA PRIMARY SCHOOL"/>
    <n v="21"/>
    <x v="3"/>
    <x v="0"/>
    <x v="0"/>
    <s v="Good"/>
    <x v="0"/>
    <x v="0"/>
    <x v="0"/>
    <s v="The administration have been very much willing to assist"/>
    <s v="Collecting it after two weeks"/>
    <s v="it would be better for you to be informing them first before we go to the office"/>
    <m/>
  </r>
  <r>
    <d v="2026-06-05T00:00:00"/>
    <x v="4"/>
    <x v="4"/>
    <s v="DAGORETTIWESTLANDS"/>
    <s v="NDURARUA PRIMARY AND JUNIOR SCHOOL"/>
    <n v="34"/>
    <x v="0"/>
    <x v="0"/>
    <x v="0"/>
    <s v="Good"/>
    <x v="0"/>
    <x v="0"/>
    <x v="0"/>
    <s v="I didn't have a hard time keying the data through the link"/>
    <s v="I was not able to collect the data because the admin wants a letter from the subcouny director"/>
    <s v="To send messages to the admin before data collection so that we won't have a hard time getting the data"/>
    <m/>
  </r>
  <r>
    <d v="2026-06-05T00:00:00"/>
    <x v="0"/>
    <x v="0"/>
    <s v="GITHUNGURI 1"/>
    <s v="PCEA GATHANGARI COMPREHENSIVE SCHOOL"/>
    <n v="36"/>
    <x v="0"/>
    <x v="0"/>
    <x v="0"/>
    <s v="Good"/>
    <x v="0"/>
    <x v="0"/>
    <x v="0"/>
    <s v="The admin cooperated in giving the information on time"/>
    <m/>
    <s v="Everything was good"/>
    <m/>
  </r>
  <r>
    <d v="2026-06-05T00:00:00"/>
    <x v="4"/>
    <x v="4"/>
    <s v="ATHI RIVERNJIRU"/>
    <s v="IMARA COMPREHENSIVE SCHOOL"/>
    <n v="26"/>
    <x v="0"/>
    <x v="0"/>
    <x v="1"/>
    <s v="Very Good"/>
    <x v="1"/>
    <x v="1"/>
    <x v="0"/>
    <s v="Their was no tabulation in that it was automatic"/>
    <s v="It works best with general population instead of per class per gender"/>
    <s v="Minimise per class per gender to general population of girls and boys"/>
    <s v="It's not tedious when merged"/>
  </r>
  <r>
    <d v="2026-06-05T00:00:00"/>
    <x v="4"/>
    <x v="4"/>
    <s v="ATHI RIVERNJIRU"/>
    <s v="THAWABU COMPREHENSIVE SCHOOL"/>
    <n v="28"/>
    <x v="0"/>
    <x v="0"/>
    <x v="0"/>
    <s v="Very Good"/>
    <x v="0"/>
    <x v="1"/>
    <x v="0"/>
    <s v="The input of data in kobo collect is precise and clear"/>
    <s v="Collection Gps of the school took a lot of timeIt wasn't automaticThe GPS part should be improved"/>
    <s v="Make the GPS collection the location automatically"/>
    <m/>
  </r>
  <r>
    <d v="2026-06-05T00:00:00"/>
    <x v="4"/>
    <x v="4"/>
    <s v="ATHI RIVERNJIRU"/>
    <s v="BONDENI COMPREHENSIVE SCHOOL"/>
    <n v="28"/>
    <x v="0"/>
    <x v="1"/>
    <x v="0"/>
    <s v="Good"/>
    <x v="0"/>
    <x v="0"/>
    <x v="0"/>
    <s v="The app automatically populates the total number of boys and girls after data entry reducing manual calculations and errors The draftsaving feature allows us to save our progress and revisit forms later for review and correction before fil submission"/>
    <s v="The app does not allow backdating of data entries making it difficult to capture information for previous dates when necessary"/>
    <s v="Allow users to backdate data entries when necessary"/>
    <m/>
  </r>
  <r>
    <d v="2026-06-05T00:00:00"/>
    <x v="9"/>
    <x v="10"/>
    <s v="MURANGA 1"/>
    <s v="KAREGA PRIMARY SCHOOL"/>
    <n v="21"/>
    <x v="3"/>
    <x v="0"/>
    <x v="0"/>
    <s v="Good"/>
    <x v="0"/>
    <x v="0"/>
    <x v="0"/>
    <s v="The administration was very willing to help"/>
    <s v="We be collecting it after two weeks"/>
    <s v="You be informing the administration first before we reach to them"/>
    <m/>
  </r>
  <r>
    <d v="2026-06-05T00:00:00"/>
    <x v="4"/>
    <x v="4"/>
    <s v="DAGORETTIWESTLANDS"/>
    <s v="KABETE VETLAB COMPREHENSIVE SCHOOL"/>
    <n v="34"/>
    <x v="0"/>
    <x v="0"/>
    <x v="1"/>
    <s v="Very Good"/>
    <x v="1"/>
    <x v="1"/>
    <x v="0"/>
    <s v="It was easy to vigate"/>
    <m/>
    <m/>
    <m/>
  </r>
  <r>
    <d v="2026-06-05T00:00:00"/>
    <x v="4"/>
    <x v="4"/>
    <s v="KAJIADOLANGATA"/>
    <s v="UPPERHILL DAY NURSERY SCHOOL"/>
    <n v="28"/>
    <x v="0"/>
    <x v="1"/>
    <x v="0"/>
    <s v="Very Good"/>
    <x v="0"/>
    <x v="1"/>
    <x v="0"/>
    <s v="The school admin did not hesitate to provide data"/>
    <m/>
    <m/>
    <m/>
  </r>
  <r>
    <d v="2026-06-05T00:00:00"/>
    <x v="0"/>
    <x v="0"/>
    <s v="GITHUNGURI 1"/>
    <s v="KIAMBURURU SECONDARY SCHOOL"/>
    <n v="27"/>
    <x v="1"/>
    <x v="0"/>
    <x v="0"/>
    <s v="Good"/>
    <x v="0"/>
    <x v="0"/>
    <x v="0"/>
    <s v="Accuracy in the collection was topnotchVery organized documentationcoordited with the HOI and the school secretary to obtain required information on time"/>
    <s v="Some records like baseline information went missingoccasiol inconsistencies btwn class registers and administrative recordsDelayment in receiving the Data"/>
    <s v="Conducting regular updates of students record through out the termProvide maybe training and guidance to staff involved in data collection and magementEncourage prompt reporting of students admissions transfer and withdrawals"/>
    <s v="With this it will improve the completeness"/>
  </r>
  <r>
    <d v="2026-06-05T00:00:00"/>
    <x v="6"/>
    <x v="8"/>
    <s v="BUNGOMA"/>
    <s v="ST TERESA'S SIO RC COMPREHENSIVE SCHOOL"/>
    <n v="39"/>
    <x v="0"/>
    <x v="1"/>
    <x v="0"/>
    <s v="Very Good"/>
    <x v="0"/>
    <x v="1"/>
    <x v="0"/>
    <s v="Easy to fill"/>
    <m/>
    <m/>
    <m/>
  </r>
  <r>
    <d v="2026-06-05T00:00:00"/>
    <x v="10"/>
    <x v="11"/>
    <s v="NYERI 1"/>
    <s v="NGOORU PRIMARY SCHOOL"/>
    <n v="21"/>
    <x v="2"/>
    <x v="0"/>
    <x v="0"/>
    <s v="Good"/>
    <x v="0"/>
    <x v="0"/>
    <x v="0"/>
    <s v="Process is good and simple"/>
    <s v="Finces has been  a challenge when it comes to purchasing data"/>
    <s v="I recommend that we fill links within the working hours to avoid extra expenses inform of data"/>
    <m/>
  </r>
  <r>
    <d v="2026-06-05T00:00:00"/>
    <x v="4"/>
    <x v="4"/>
    <s v="KAJIADOLANGATA"/>
    <s v="ST MARY'S KAREN COMPREHENSIVE SCHOOL"/>
    <n v="36"/>
    <x v="0"/>
    <x v="1"/>
    <x v="1"/>
    <s v="Very Good"/>
    <x v="1"/>
    <x v="1"/>
    <x v="0"/>
    <s v="It was the first time using the app and it was great"/>
    <s v="No any challenges"/>
    <s v="For now am okay since it was the first time"/>
    <s v="It was nice and good experience trying something new"/>
  </r>
  <r>
    <d v="2026-06-05T00:00:00"/>
    <x v="0"/>
    <x v="0"/>
    <s v="LIMURU 1"/>
    <s v="MANGUO SECONDARY SCHOOL"/>
    <n v="23"/>
    <x v="1"/>
    <x v="0"/>
    <x v="0"/>
    <s v="Good"/>
    <x v="0"/>
    <x v="0"/>
    <x v="0"/>
    <s v="It was good because  the administration help me with the school population and also the stampThe communication with them helps me alot"/>
    <s v="Continue  having good communication  with the staff and students"/>
    <s v="Communication with the students and informing them the important of Eat with us and also to remind them to carry their meal cards and to remind their parents to also top up on time so that their will not miss lunch"/>
    <m/>
  </r>
  <r>
    <d v="2026-06-05T00:00:00"/>
    <x v="4"/>
    <x v="6"/>
    <s v="BIDIIZAWADI REGION"/>
    <s v="MORRISON PRIMARY AND JUNIOR SECONDARY SCHOOL"/>
    <n v="44"/>
    <x v="0"/>
    <x v="0"/>
    <x v="1"/>
    <s v="Good"/>
    <x v="1"/>
    <x v="0"/>
    <x v="0"/>
    <s v="The tool was fast and taking of the location was precise"/>
    <s v="Taking the total figure of each Grade"/>
    <s v="Ebling it to take accurate figure of the fil figure it was slow to reflect after keying in the figures of each Grade including boys and girls"/>
    <m/>
  </r>
  <r>
    <d v="2026-06-05T00:00:00"/>
    <x v="9"/>
    <x v="10"/>
    <s v="MURANGA 1"/>
    <s v="KAREGA PRIMARY SCHOOL AND JUNIOR SECONDARY"/>
    <n v="42"/>
    <x v="2"/>
    <x v="0"/>
    <x v="0"/>
    <s v="Very Good"/>
    <x v="0"/>
    <x v="1"/>
    <x v="0"/>
    <s v="It's easier to fill"/>
    <s v="No challenge"/>
    <s v="If you shorten the format"/>
    <m/>
  </r>
  <r>
    <d v="2026-06-05T00:00:00"/>
    <x v="3"/>
    <x v="5"/>
    <s v="KAKAMEGA"/>
    <s v="CHIEF MUTSEMBI COMPREHENSIVE PRIMARY"/>
    <n v="36"/>
    <x v="0"/>
    <x v="1"/>
    <x v="0"/>
    <s v="Good"/>
    <x v="0"/>
    <x v="0"/>
    <x v="0"/>
    <s v="The process was fast and smooth since i had full cooperatikn from the teachers"/>
    <s v="The only challenge i experienced the update of the app was not automated you had to uninstall it fast"/>
    <s v="The app was great working with"/>
    <s v="The kobocollect tool worked effectively and efficiently"/>
  </r>
  <r>
    <d v="2026-06-05T00:00:00"/>
    <x v="4"/>
    <x v="4"/>
    <s v="DAGORETTIWESTLANDS"/>
    <s v="RUTHIMITU PRIMARY AND JUNIOR SECONDARY SCHOOL"/>
    <n v="45"/>
    <x v="0"/>
    <x v="0"/>
    <x v="0"/>
    <s v="Very Good"/>
    <x v="0"/>
    <x v="1"/>
    <x v="0"/>
    <s v="Ive not had any challenges using itIts efficient and save time when loading data"/>
    <s v="Maybe location wise as you configure location when loading it takes alot of time"/>
    <s v="Improve on configuring someones location if it can be faster"/>
    <m/>
  </r>
  <r>
    <d v="2026-06-05T00:00:00"/>
    <x v="0"/>
    <x v="0"/>
    <s v="GITHUNGURI 1"/>
    <s v="PCEA MATUGUTA SECONDARY SCHOOL"/>
    <n v="30"/>
    <x v="1"/>
    <x v="0"/>
    <x v="1"/>
    <s v="Good"/>
    <x v="1"/>
    <x v="0"/>
    <x v="0"/>
    <s v="The school was cooperative in sharing data"/>
    <s v="It was all good"/>
    <s v="So far so good"/>
    <m/>
  </r>
  <r>
    <d v="2026-06-05T00:00:00"/>
    <x v="9"/>
    <x v="10"/>
    <s v="MURANGA 1"/>
    <s v="KINYO PRIMARY SCHOOL"/>
    <n v="20"/>
    <x v="3"/>
    <x v="0"/>
    <x v="0"/>
    <s v="Good"/>
    <x v="0"/>
    <x v="0"/>
    <x v="0"/>
    <s v="School attendance  was good"/>
    <s v="More manual deductions"/>
    <s v="Reduce cost of tag replacement"/>
    <m/>
  </r>
  <r>
    <d v="2026-06-05T00:00:00"/>
    <x v="4"/>
    <x v="4"/>
    <s v="KIBRAWESTLANDS"/>
    <s v="KIBERA PRIMARY SCHOOL"/>
    <n v="21"/>
    <x v="0"/>
    <x v="0"/>
    <x v="0"/>
    <s v="Good"/>
    <x v="0"/>
    <x v="0"/>
    <x v="0"/>
    <s v="Persolly  it as been so easy  and good  to mage"/>
    <s v="It has good  idea for improving  our numbers  since  you normally  monitor  yr number  on a daily  basis"/>
    <m/>
    <m/>
  </r>
  <r>
    <d v="2026-06-05T00:00:00"/>
    <x v="5"/>
    <x v="7"/>
    <s v="NYALI  MOMBASA"/>
    <s v="ZIWA LA NG'OMBE COMPREHENSIVE SCHOOL"/>
    <n v="36"/>
    <x v="0"/>
    <x v="0"/>
    <x v="1"/>
    <s v="Very Good"/>
    <x v="1"/>
    <x v="1"/>
    <x v="0"/>
    <s v="Collection of the data was faster"/>
    <s v="It could have been better if the data needed did not specify on Grade by grade breakdown"/>
    <s v="Not including the grade by grade breakdown"/>
    <m/>
  </r>
  <r>
    <d v="2026-06-05T00:00:00"/>
    <x v="0"/>
    <x v="0"/>
    <s v="LIMURU 2"/>
    <s v="NYANJEGA PRIMARY SCHOOL"/>
    <n v="23"/>
    <x v="0"/>
    <x v="0"/>
    <x v="0"/>
    <s v="Good"/>
    <x v="0"/>
    <x v="0"/>
    <x v="0"/>
    <s v="My school doesn't have that many kids so the collection hasn't  been  that hard"/>
    <s v="Probably  making  the data collection twice a week rather than everyday"/>
    <s v="Probably making the data collection  twice a week or thrice"/>
    <m/>
  </r>
  <r>
    <d v="2026-06-05T00:00:00"/>
    <x v="4"/>
    <x v="6"/>
    <s v="BIDIIZAWADI REGION"/>
    <s v="OFAFA JERICHO PRIMARY SCHOOL"/>
    <n v="28"/>
    <x v="0"/>
    <x v="0"/>
    <x v="1"/>
    <s v="Very Good"/>
    <x v="1"/>
    <x v="1"/>
    <x v="0"/>
    <s v="The tool was easy to use and the autofilling of boys' and girls' data was quite impressive"/>
    <s v="The main challenge was collecting the baseline population data especially where records had not been well maintained"/>
    <s v="All information should be maintained in the F4E database so that it can be easily accessed whenever it is uvailable from the school administration In some cases the head teachers were new to the schools and were not even aware of when the program started"/>
    <s v="The process was awesome"/>
  </r>
  <r>
    <d v="2026-06-05T00:00:00"/>
    <x v="10"/>
    <x v="11"/>
    <s v="NYERI 1"/>
    <s v="WANDUMBI PRIMARY AND JUNIOR SECONDARY SCHOOL"/>
    <n v="44"/>
    <x v="2"/>
    <x v="0"/>
    <x v="0"/>
    <s v="Good"/>
    <x v="0"/>
    <x v="0"/>
    <x v="0"/>
    <s v="lack of enough time"/>
    <s v="To be given more time"/>
    <s v="Time line should be extended"/>
    <s v="Work load is still in creasing due to online duties"/>
  </r>
  <r>
    <d v="2026-06-05T00:00:00"/>
    <x v="9"/>
    <x v="10"/>
    <s v="MURANGA 1"/>
    <s v="ST MARYS PRIMARY"/>
    <n v="16"/>
    <x v="3"/>
    <x v="0"/>
    <x v="3"/>
    <s v="Very Good"/>
    <x v="3"/>
    <x v="1"/>
    <x v="1"/>
    <s v="The day is well done"/>
    <s v="Everything is good"/>
    <s v="To escalate when problem comes"/>
    <s v="We want team work"/>
  </r>
  <r>
    <d v="2026-06-05T00:00:00"/>
    <x v="4"/>
    <x v="6"/>
    <s v="BIDIIZAWADI REGION"/>
    <s v="HARAMBEE PRIMARY SCHOOL"/>
    <n v="23"/>
    <x v="0"/>
    <x v="0"/>
    <x v="0"/>
    <s v="Very Good"/>
    <x v="0"/>
    <x v="1"/>
    <x v="0"/>
    <s v="It was easy to use and well functioning"/>
    <m/>
    <m/>
    <m/>
  </r>
  <r>
    <d v="2026-06-05T00:00:00"/>
    <x v="4"/>
    <x v="6"/>
    <s v="EMBAKASI"/>
    <s v="UNITY COMPREHENSIVE SCHOOL"/>
    <n v="26"/>
    <x v="0"/>
    <x v="0"/>
    <x v="0"/>
    <s v="Good"/>
    <x v="0"/>
    <x v="0"/>
    <x v="0"/>
    <s v="Everything went well"/>
    <s v="I didn't face any challenge"/>
    <s v="I don't think any improvements should be made"/>
    <m/>
  </r>
  <r>
    <d v="2026-06-05T00:00:00"/>
    <x v="4"/>
    <x v="4"/>
    <s v="DAGORETTIWESTLANDS"/>
    <s v="MUTUINI PRIMARY AND JUNIOR SECONDARY SCHOOL"/>
    <n v="43"/>
    <x v="0"/>
    <x v="0"/>
    <x v="0"/>
    <s v="Very Good"/>
    <x v="0"/>
    <x v="1"/>
    <x v="0"/>
    <s v="The data provided was already at the deputies office and it was easy to be given out and fill the form"/>
    <s v="The tool could show us how many students are registered in a particular school"/>
    <s v="Kindly provide the baseline information from the tap2eat system because this data is not available at school level"/>
    <s v="Kobo collect is easy to use"/>
  </r>
  <r>
    <d v="2026-06-05T00:00:00"/>
    <x v="0"/>
    <x v="2"/>
    <s v="KIKUYU"/>
    <s v="GATUNE PRIMARY AND JUNIOR SCHOOL"/>
    <n v="32"/>
    <x v="0"/>
    <x v="0"/>
    <x v="1"/>
    <s v="Very Good"/>
    <x v="1"/>
    <x v="1"/>
    <x v="0"/>
    <s v="Data collection conducted successfully with no challenges encoutered"/>
    <s v="There were no difficulties in collecting the data"/>
    <s v="Data collection exercise is good so as to know the attendance of the learners"/>
    <m/>
  </r>
  <r>
    <d v="2026-06-05T00:00:00"/>
    <x v="9"/>
    <x v="10"/>
    <s v="MURANGA 1"/>
    <s v="GITUGI PRIMARY SCHOOL"/>
    <n v="21"/>
    <x v="3"/>
    <x v="1"/>
    <x v="1"/>
    <s v="Good"/>
    <x v="1"/>
    <x v="0"/>
    <x v="0"/>
    <s v="Student tapped in large numbers"/>
    <s v="If all students have tags"/>
    <s v="By encouraging all students to have tags"/>
    <s v="No"/>
  </r>
  <r>
    <d v="2026-06-05T00:00:00"/>
    <x v="4"/>
    <x v="4"/>
    <s v="DAGORETTIWESTLANDS"/>
    <s v="NEMBU PRIMARY SCHOOL"/>
    <n v="20"/>
    <x v="0"/>
    <x v="0"/>
    <x v="0"/>
    <s v="Good"/>
    <x v="0"/>
    <x v="0"/>
    <x v="0"/>
    <s v="The system automatically adds up the total number of kids"/>
    <s v="The streams break down Because going round the entire school with different streams uses more time than just keying in the numbers per stream"/>
    <s v="Adding streams"/>
    <m/>
  </r>
  <r>
    <d v="2026-06-05T00:00:00"/>
    <x v="4"/>
    <x v="4"/>
    <s v="DAGORETTIWESTLANDS"/>
    <s v="MUTUINI HIGH SCHOOL"/>
    <n v="19"/>
    <x v="1"/>
    <x v="0"/>
    <x v="0"/>
    <s v="Good"/>
    <x v="0"/>
    <x v="0"/>
    <x v="0"/>
    <s v="I was able to get data of students per stream with the help of class teachers by  them providing the attendance of the students in the classeses"/>
    <s v="If maybe we would have been better if we had  a letter to give the administration that states why we need the school data so that the can give us information without a lot of doubt"/>
    <s v="Maybe provide a document with where the person providing information or data can sign as a prove she/he is the one who provided the information"/>
    <m/>
  </r>
  <r>
    <d v="2026-06-05T00:00:00"/>
    <x v="4"/>
    <x v="6"/>
    <s v="EMBAKASI"/>
    <s v="NJIRU PRIMARY SCHOOL"/>
    <n v="20"/>
    <x v="0"/>
    <x v="0"/>
    <x v="0"/>
    <s v="Good"/>
    <x v="0"/>
    <x v="0"/>
    <x v="0"/>
    <s v="The admin were willing to give the data to us so that it may help us dor better planning"/>
    <s v="No challenge was faced at my school during data collection"/>
    <s v="To give incentives to teachers who help us in doing data collection when needed"/>
    <m/>
  </r>
  <r>
    <d v="2026-06-05T00:00:00"/>
    <x v="2"/>
    <x v="4"/>
    <s v="KAJIADOLANGATA"/>
    <s v="OLKERI PRIMARY SCHOOL"/>
    <n v="21"/>
    <x v="0"/>
    <x v="0"/>
    <x v="0"/>
    <s v="Good"/>
    <x v="0"/>
    <x v="0"/>
    <x v="0"/>
    <s v="Getting the school enrollment data from the administration officialswas quite okay"/>
    <s v="The only challenge I had was accessing the Kobo up but I used the link instead because the app did do quite well for me but if it had then it could have been better"/>
    <s v=" specific since the online link worked well for me it's all good"/>
    <s v="In general everything worked out just fine during the data collection exercise"/>
  </r>
  <r>
    <d v="2026-06-05T00:00:00"/>
    <x v="10"/>
    <x v="11"/>
    <s v="NYERI 1"/>
    <s v="HUHOINI COMPREHENSIVE SCHOOL"/>
    <n v="28"/>
    <x v="2"/>
    <x v="0"/>
    <x v="2"/>
    <s v="Good"/>
    <x v="2"/>
    <x v="0"/>
    <x v="1"/>
    <s v="Filling the details was good"/>
    <s v="Taking location"/>
    <s v="Excluding the location part twas a challenge"/>
    <s v="Make the location part easier"/>
  </r>
  <r>
    <d v="2026-06-05T00:00:00"/>
    <x v="0"/>
    <x v="0"/>
    <s v="GITHUNGURI 1"/>
    <s v="GITHIORO COMPREHENSIVE PRIMARY SCHOOL"/>
    <n v="37"/>
    <x v="0"/>
    <x v="0"/>
    <x v="1"/>
    <s v="Very Good"/>
    <x v="1"/>
    <x v="1"/>
    <x v="0"/>
    <s v="The class teacher gave out the information needed willingly"/>
    <m/>
    <s v="The app and website is good for now"/>
    <m/>
  </r>
  <r>
    <d v="2026-06-05T00:00:00"/>
    <x v="4"/>
    <x v="6"/>
    <s v="BIDIIZAWADI REGION"/>
    <s v="DR LIVINGSTONE PRIMARY AND JUNIOR SECONDARY SCHOOL"/>
    <n v="50"/>
    <x v="0"/>
    <x v="0"/>
    <x v="0"/>
    <s v="Good"/>
    <x v="0"/>
    <x v="0"/>
    <x v="0"/>
    <s v="Putting data was much easier"/>
    <s v="For now everything was better"/>
    <s v="Currently it's okay"/>
    <s v="The Kobo is easier to use"/>
  </r>
  <r>
    <d v="2026-06-05T00:00:00"/>
    <x v="4"/>
    <x v="6"/>
    <s v="KASARANI"/>
    <s v="KIWANJA PRIMARY SCHOOL"/>
    <n v="22"/>
    <x v="0"/>
    <x v="0"/>
    <x v="1"/>
    <s v="Very Good"/>
    <x v="1"/>
    <x v="1"/>
    <x v="0"/>
    <s v="I didn't have to calculate  the total Cobo did it by itself"/>
    <s v="Everything was okay"/>
    <s v="Everything was good "/>
    <s v="Cobo is good for collecting population"/>
  </r>
  <r>
    <d v="2026-06-05T00:00:00"/>
    <x v="9"/>
    <x v="10"/>
    <s v="MURANGA 2"/>
    <s v="GICHUMBU PRIMARY SCHOOL"/>
    <n v="23"/>
    <x v="3"/>
    <x v="0"/>
    <x v="0"/>
    <s v="Very Poor"/>
    <x v="0"/>
    <x v="3"/>
    <x v="0"/>
    <s v="The great"/>
    <s v="Time"/>
    <s v="The time to get the information"/>
    <s v="Good"/>
  </r>
  <r>
    <d v="2026-06-05T00:00:00"/>
    <x v="5"/>
    <x v="7"/>
    <s v="NYALI  MOMBASA"/>
    <s v="KADZANDANI COMPREHENSIVE SCHOOL"/>
    <n v="31"/>
    <x v="0"/>
    <x v="1"/>
    <x v="0"/>
    <s v="Very Good"/>
    <x v="0"/>
    <x v="1"/>
    <x v="0"/>
    <s v="The app usage was smooth and user friendly"/>
    <s v="Everything was perfect on my end"/>
    <s v="I think we are good to go"/>
    <m/>
  </r>
  <r>
    <d v="2026-06-05T00:00:00"/>
    <x v="4"/>
    <x v="4"/>
    <s v="KIBRAWESTLANDS"/>
    <s v="TOI PRIMARY AND JUNIOR SCHOOL"/>
    <n v="29"/>
    <x v="0"/>
    <x v="0"/>
    <x v="0"/>
    <s v="Good"/>
    <x v="0"/>
    <x v="0"/>
    <x v="0"/>
    <s v="The Daily Data collection went well I was able to get the exact daily attendance per class"/>
    <s v="Sometimes it's was challenging to get the exact population when kids have been sent back home"/>
    <s v="We"/>
    <m/>
  </r>
  <r>
    <d v="2026-06-05T00:00:00"/>
    <x v="0"/>
    <x v="0"/>
    <s v="LIMURU 1"/>
    <s v="MANGUO PRIMARY SCHOOL"/>
    <n v="21"/>
    <x v="0"/>
    <x v="0"/>
    <x v="0"/>
    <s v="Good"/>
    <x v="0"/>
    <x v="0"/>
    <x v="0"/>
    <s v="It was easier when the population was given by Admin"/>
    <s v="The daily Attendance kindly make it be total Girls and BoysGoing per class is giving us problems with the teachersThey are tired of seeing us everyday"/>
    <s v="Adjust the attendance to simple totals"/>
    <m/>
  </r>
  <r>
    <d v="2026-06-05T00:00:00"/>
    <x v="6"/>
    <x v="8"/>
    <s v="BUNGOMA"/>
    <s v="KANDUYI DEB PRIMARY SCHOOL"/>
    <n v="26"/>
    <x v="0"/>
    <x v="0"/>
    <x v="0"/>
    <s v="Very Good"/>
    <x v="0"/>
    <x v="1"/>
    <x v="0"/>
    <s v="It makes work easier for it is faster"/>
    <s v="No challenge"/>
    <s v="Kobo is just ok"/>
    <m/>
  </r>
  <r>
    <d v="2026-06-05T00:00:00"/>
    <x v="9"/>
    <x v="10"/>
    <s v="MURANGA 2"/>
    <s v="GATUNGURU KARIARA PRIMARY AND JSS"/>
    <n v="33"/>
    <x v="2"/>
    <x v="0"/>
    <x v="0"/>
    <s v="Good"/>
    <x v="0"/>
    <x v="0"/>
    <x v="0"/>
    <s v="Teachers  support Sponsored student"/>
    <s v="Absentee"/>
    <s v="Increase sponsored"/>
    <s v="No"/>
  </r>
  <r>
    <d v="2026-06-05T00:00:00"/>
    <x v="0"/>
    <x v="0"/>
    <s v="LIMURU 2"/>
    <s v="LIMURU MISSION PRIMARY SCHOOL"/>
    <n v="29"/>
    <x v="0"/>
    <x v="0"/>
    <x v="1"/>
    <s v="Good"/>
    <x v="1"/>
    <x v="0"/>
    <x v="0"/>
    <s v="It's very easy to enter the data"/>
    <s v="The auto calculator on the total population could be containing a programming error"/>
    <s v="I feel the tool was adequate for now"/>
    <s v="My first submission was not recorded on the back end"/>
  </r>
  <r>
    <d v="2026-06-05T00:00:00"/>
    <x v="0"/>
    <x v="0"/>
    <s v="LIMURU 2"/>
    <s v="UMOJA PRIMARY SCHOOL"/>
    <n v="20"/>
    <x v="0"/>
    <x v="0"/>
    <x v="0"/>
    <s v="Good"/>
    <x v="0"/>
    <x v="0"/>
    <x v="0"/>
    <s v="It was very easy because the class teacher where very cooperative to give the data correctly"/>
    <s v="Having a system where by we can be entering data ourselves"/>
    <s v="Have a system of entering data not manual"/>
    <m/>
  </r>
  <r>
    <d v="2026-06-05T00:00:00"/>
    <x v="4"/>
    <x v="6"/>
    <s v="EASTLEIGHSTAREHE"/>
    <s v="SALAMA PRIMARY AND JUNIOR SECONDARY SCHOOL"/>
    <n v="42"/>
    <x v="0"/>
    <x v="0"/>
    <x v="1"/>
    <s v="Very Good"/>
    <x v="1"/>
    <x v="1"/>
    <x v="0"/>
    <s v="The process was smooth"/>
    <s v="No challenges were faced so far so good"/>
    <s v=" at the moment"/>
    <m/>
  </r>
  <r>
    <d v="2026-06-05T00:00:00"/>
    <x v="0"/>
    <x v="0"/>
    <s v="GITHUNGURI 1"/>
    <s v="GITIHA SECONDARY SCHOOL"/>
    <n v="23"/>
    <x v="1"/>
    <x v="1"/>
    <x v="3"/>
    <s v="Very Poor"/>
    <x v="3"/>
    <x v="3"/>
    <x v="1"/>
    <s v="I got all the information required on timethe app worked well"/>
    <s v="The gps trackingit kept loading and loading"/>
    <s v="Improve on the gps tracking"/>
    <m/>
  </r>
  <r>
    <d v="2026-06-05T00:00:00"/>
    <x v="9"/>
    <x v="10"/>
    <s v="MURANGA 2"/>
    <s v="WANYAGA PRIMARY SCHOOL AND JUNIOR SECONDARY"/>
    <n v="43"/>
    <x v="2"/>
    <x v="0"/>
    <x v="1"/>
    <s v="Good"/>
    <x v="1"/>
    <x v="0"/>
    <x v="0"/>
    <s v="Kids fed regularly"/>
    <s v="Absentism of students"/>
    <s v="Encourage parents on topping up regularly"/>
    <s v="The program is gud"/>
  </r>
  <r>
    <d v="2026-06-05T00:00:00"/>
    <x v="4"/>
    <x v="6"/>
    <s v="EMBAKASI"/>
    <s v="OUR LADY OF MERCY PRIMARY AND JUNIOR SECONDARY SCHOOL"/>
    <n v="53"/>
    <x v="0"/>
    <x v="0"/>
    <x v="0"/>
    <s v="Very Good"/>
    <x v="0"/>
    <x v="1"/>
    <x v="0"/>
    <s v="All went well"/>
    <s v="All is well"/>
    <s v="Everything is ok"/>
    <m/>
  </r>
  <r>
    <d v="2026-06-05T00:00:00"/>
    <x v="1"/>
    <x v="1"/>
    <s v="KISUMU"/>
    <s v="BUK PRIMARY AND JUNIOR SECONDARY SCHOOL"/>
    <n v="39"/>
    <x v="0"/>
    <x v="1"/>
    <x v="1"/>
    <s v="Very Good"/>
    <x v="1"/>
    <x v="1"/>
    <x v="0"/>
    <s v="Kobo collect app was easy to use The school admin was cooperative"/>
    <s v="No challenge was faced"/>
    <s v=" for now"/>
    <m/>
  </r>
  <r>
    <d v="2026-06-05T00:00:00"/>
    <x v="0"/>
    <x v="0"/>
    <s v="LIMURU 2"/>
    <s v="THARUNI PRIMARY SCHOOL"/>
    <n v="22"/>
    <x v="0"/>
    <x v="0"/>
    <x v="1"/>
    <s v="Very Good"/>
    <x v="1"/>
    <x v="1"/>
    <x v="0"/>
    <s v="On calculation It makes work easier"/>
    <s v="I didn't face any challenge"/>
    <s v="I think it would be easier for the baseline information to be feed to each school so that you don't keep going to the admin for the same information every term"/>
    <m/>
  </r>
  <r>
    <d v="2026-06-05T00:00:00"/>
    <x v="9"/>
    <x v="10"/>
    <s v="MURANGA 2"/>
    <s v="RWEGETHA PRIMARY SCHOOL"/>
    <n v="23"/>
    <x v="3"/>
    <x v="0"/>
    <x v="0"/>
    <s v="Good"/>
    <x v="0"/>
    <x v="0"/>
    <x v="0"/>
    <s v="Actual meals are increasing"/>
    <s v="Many manual deductions"/>
    <s v="Encourage parents to do tag replacement"/>
    <s v="Good"/>
  </r>
  <r>
    <d v="2026-06-05T00:00:00"/>
    <x v="0"/>
    <x v="0"/>
    <s v="LARI"/>
    <s v="KAMBURU SECONDARY SCHOOL"/>
    <n v="24"/>
    <x v="1"/>
    <x v="0"/>
    <x v="0"/>
    <s v="Good"/>
    <x v="0"/>
    <x v="0"/>
    <x v="0"/>
    <s v="Everything went well"/>
    <s v="Everything was good"/>
    <m/>
    <m/>
  </r>
  <r>
    <d v="2026-06-05T00:00:00"/>
    <x v="9"/>
    <x v="10"/>
    <s v="MURANGA 2"/>
    <s v="KIUNYU PRIMARY SCHOOL"/>
    <n v="21"/>
    <x v="3"/>
    <x v="0"/>
    <x v="0"/>
    <s v="Good"/>
    <x v="0"/>
    <x v="0"/>
    <x v="0"/>
    <s v="Wen collecting data helped us be updated with the students we have in school"/>
    <s v="For now everything was good"/>
    <s v="Be giving us a duration of one week to complete with data collection"/>
    <m/>
  </r>
  <r>
    <d v="2026-06-05T00:00:00"/>
    <x v="9"/>
    <x v="10"/>
    <s v="MURANGA 2"/>
    <s v="GITIRI PRIMARY AND JSS"/>
    <n v="22"/>
    <x v="2"/>
    <x v="0"/>
    <x v="0"/>
    <s v="Good"/>
    <x v="0"/>
    <x v="0"/>
    <x v="0"/>
    <s v="Then number of students who were absent wasn't that higher as expected"/>
    <s v="It could have been better if all the students were present at school and during tapping"/>
    <s v="We hope the absentism does not rise"/>
    <m/>
  </r>
  <r>
    <d v="2026-06-05T00:00:00"/>
    <x v="0"/>
    <x v="0"/>
    <s v="GITHUNGURI 1"/>
    <s v="GITHIGA COMPREHENSIVE SCHOOL"/>
    <n v="28"/>
    <x v="0"/>
    <x v="0"/>
    <x v="1"/>
    <s v="Very Good"/>
    <x v="1"/>
    <x v="1"/>
    <x v="0"/>
    <s v="Data entry  per every  class and how it adds up all totals also smooth  connections"/>
    <m/>
    <m/>
    <m/>
  </r>
  <r>
    <d v="2026-06-05T00:00:00"/>
    <x v="9"/>
    <x v="10"/>
    <s v="MURANGA 2"/>
    <s v="RWAITIRA PRIMARY AND JSS"/>
    <n v="24"/>
    <x v="2"/>
    <x v="1"/>
    <x v="0"/>
    <s v="Good"/>
    <x v="0"/>
    <x v="0"/>
    <x v="0"/>
    <s v="Serving the learners"/>
    <s v="To add more variety of fruits"/>
    <s v="Reducing payment"/>
    <s v="No"/>
  </r>
  <r>
    <d v="2026-06-05T00:00:00"/>
    <x v="0"/>
    <x v="0"/>
    <s v="GITHUNGURI 1"/>
    <s v="MUKUYU SECONDARY SCHOOL"/>
    <n v="23"/>
    <x v="1"/>
    <x v="0"/>
    <x v="1"/>
    <s v="Very Good"/>
    <x v="1"/>
    <x v="1"/>
    <x v="0"/>
    <s v="Two students who were not feeding with us got a sponsor"/>
    <s v="Reporting time has been a challenge"/>
    <s v="If we can be added at least one hour we can be able to complete all our duties"/>
    <m/>
  </r>
  <r>
    <d v="2026-06-05T00:00:00"/>
    <x v="0"/>
    <x v="0"/>
    <s v="GITHUNGURI 2"/>
    <s v="PCEA GITHUNGURI COMPREHENSIVE SCHOOL"/>
    <n v="36"/>
    <x v="0"/>
    <x v="0"/>
    <x v="1"/>
    <s v="Very Good"/>
    <x v="1"/>
    <x v="1"/>
    <x v="0"/>
    <s v="The administration gave the permission to get the data from the class teachers"/>
    <s v="The headteacher is new hence couldn't get the baseline data"/>
    <m/>
    <m/>
  </r>
  <r>
    <d v="2026-06-05T00:00:00"/>
    <x v="9"/>
    <x v="10"/>
    <s v="MURANGA 1"/>
    <s v="KAHATIA PRIMARY SCHOOL"/>
    <n v="22"/>
    <x v="3"/>
    <x v="0"/>
    <x v="0"/>
    <s v="Good"/>
    <x v="0"/>
    <x v="0"/>
    <x v="0"/>
    <s v="All was awesome"/>
    <s v="All was awesome"/>
    <s v="N/ A"/>
    <m/>
  </r>
  <r>
    <d v="2026-06-05T00:00:00"/>
    <x v="0"/>
    <x v="2"/>
    <s v="KABETE"/>
    <s v="KAMONJONI PRIMARY AND JUNIOR SCHOOL"/>
    <n v="35"/>
    <x v="0"/>
    <x v="0"/>
    <x v="1"/>
    <s v="Good"/>
    <x v="1"/>
    <x v="0"/>
    <x v="0"/>
    <s v="I had and easy time using the app"/>
    <s v="I didn't like how I had to send the data multiple time because it wasn't reflecting despite sending it alot of times"/>
    <s v="Ensure that data reflects after sending once"/>
    <m/>
  </r>
  <r>
    <d v="2026-06-05T00:00:00"/>
    <x v="9"/>
    <x v="10"/>
    <s v="MURANGA 2"/>
    <s v="NGUNGUGU PRIMARY AND JSS"/>
    <n v="24"/>
    <x v="2"/>
    <x v="0"/>
    <x v="0"/>
    <s v="Good"/>
    <x v="0"/>
    <x v="0"/>
    <x v="0"/>
    <s v="The Hol gives the population"/>
    <s v="Taking the gps"/>
    <s v="Any other ways of collecting population"/>
    <s v="The gps is challenging"/>
  </r>
  <r>
    <d v="2026-06-05T00:00:00"/>
    <x v="0"/>
    <x v="3"/>
    <s v="KIAMBU"/>
    <s v="CHIEF WANDIE PRIMARY SCHOOL"/>
    <n v="27"/>
    <x v="0"/>
    <x v="0"/>
    <x v="1"/>
    <s v="Very Good"/>
    <x v="1"/>
    <x v="1"/>
    <x v="0"/>
    <s v="The link worked really well for me because after entering the data from paper I was able to confirm that what I had matched the totals on the link which made me more confident with my data"/>
    <s v="I tried using the app and submitting the form but it kept showing an error saying the form is not active"/>
    <s v="The app should be improved to reduce errors during form submission"/>
    <s v="Overall the experience was good The link was smooth and helpful in confirming the accuracy of the data entered"/>
  </r>
  <r>
    <d v="2026-06-05T00:00:00"/>
    <x v="9"/>
    <x v="10"/>
    <s v="MURANGA 2"/>
    <s v="KIHUMBUINI PRIMARY SCHOOL"/>
    <n v="25"/>
    <x v="3"/>
    <x v="0"/>
    <x v="1"/>
    <s v="Good"/>
    <x v="1"/>
    <x v="0"/>
    <x v="0"/>
    <s v="Smooth and easy collection"/>
    <s v="Some questions took longer to answer"/>
    <s v="Make the tool faster and simple to use"/>
    <s v="Good"/>
  </r>
  <r>
    <d v="2026-06-05T00:00:00"/>
    <x v="3"/>
    <x v="5"/>
    <s v="KAKAMEGA"/>
    <s v="BONDENI PRIMARY"/>
    <n v="15"/>
    <x v="0"/>
    <x v="1"/>
    <x v="0"/>
    <s v="Good"/>
    <x v="0"/>
    <x v="0"/>
    <x v="0"/>
    <s v="It's simple to use"/>
    <m/>
    <m/>
    <m/>
  </r>
  <r>
    <d v="2026-06-05T00:00:00"/>
    <x v="4"/>
    <x v="4"/>
    <s v="DAGORETTIWESTLANDS"/>
    <s v="MUKARARA PRIMARY AND JUNIOR SECONDARY SCHOOL"/>
    <n v="44"/>
    <x v="0"/>
    <x v="0"/>
    <x v="0"/>
    <s v="Good"/>
    <x v="0"/>
    <x v="0"/>
    <x v="0"/>
    <s v="There was a slight increase in population The school administration was cooperative and provided the required enrollment data promptly The data collection exercise was completed smoothly and successfully"/>
    <s v="The exercise was generally smooth and no major challenges were experienced"/>
    <s v="Continue with the current approach and maintain timely communication and coordition with school before the exercise"/>
    <s v="The enrollment data collection process was generally smooth and well coordited The cooperation of the school administration and teachers greatly contributed to the successful completion of the exercise"/>
  </r>
  <r>
    <d v="2026-06-05T00:00:00"/>
    <x v="4"/>
    <x v="4"/>
    <s v="KIBRAWESTLANDS"/>
    <s v="OLYMPIC PRIMARY AND JUNIOR SCHOOL"/>
    <n v="33"/>
    <x v="0"/>
    <x v="0"/>
    <x v="0"/>
    <s v="Very Good"/>
    <x v="0"/>
    <x v="1"/>
    <x v="0"/>
    <s v="Collection of the data was quite easy because the school provided the enrollment immediatelyIncrease in numbers with atleast 200 studentsThe toolbox is easy to understandSeparation of gender also helps one to understand their numbers quite well"/>
    <s v="Variations with enrollment and information provided by teachers maybe due to late updates on teachers end"/>
    <s v="So far so good the toolbox is well understandable and helps compile all the figure making it easy"/>
    <m/>
  </r>
  <r>
    <d v="2026-06-05T00:00:00"/>
    <x v="0"/>
    <x v="0"/>
    <s v="LARI"/>
    <s v="KARIGUINI SECONDARY SCHOOL"/>
    <n v="26"/>
    <x v="1"/>
    <x v="0"/>
    <x v="0"/>
    <s v="Good"/>
    <x v="0"/>
    <x v="0"/>
    <x v="0"/>
    <s v="The process was smooth"/>
    <s v="I faced no challenge during the data collection process"/>
    <s v="No complaint"/>
    <m/>
  </r>
  <r>
    <d v="2026-06-05T00:00:00"/>
    <x v="4"/>
    <x v="6"/>
    <s v="KASARANI"/>
    <s v="BABA DOGO PRIMARY AND JUNIOR SECONDARY SCHOOL"/>
    <n v="45"/>
    <x v="0"/>
    <x v="0"/>
    <x v="0"/>
    <s v="Good"/>
    <x v="0"/>
    <x v="0"/>
    <x v="0"/>
    <s v="The data collection process and the tool used was okay admission was supportive"/>
    <s v="We the people(SC/SL) on ground should be provided with enough information about the need of population data collection so that when we are asked on the same by school admission we should have same reason across"/>
    <s v="Organization should meeting with the school admin on their data integrity"/>
    <m/>
  </r>
  <r>
    <d v="2026-06-05T00:00:00"/>
    <x v="4"/>
    <x v="6"/>
    <s v="KASARANI"/>
    <s v="MM CHANDARIA PRIMARY AND JUNIOR SECONDARY SCHOOL"/>
    <n v="48"/>
    <x v="0"/>
    <x v="0"/>
    <x v="0"/>
    <s v="Good"/>
    <x v="0"/>
    <x v="0"/>
    <x v="0"/>
    <s v="Data collection was smoothDidnt experience  any challenge while using the link"/>
    <m/>
    <m/>
    <m/>
  </r>
  <r>
    <d v="2026-06-05T00:00:00"/>
    <x v="9"/>
    <x v="10"/>
    <s v="MURANGA 1"/>
    <s v="MUKARARA PRIMARY SCHOOL"/>
    <n v="23"/>
    <x v="3"/>
    <x v="0"/>
    <x v="1"/>
    <s v="Very Good"/>
    <x v="1"/>
    <x v="1"/>
    <x v="0"/>
    <s v="Student aways come one time during tapping timethe number of insufficient funds has decreased due to parents topping up"/>
    <s v="For ones we need you add for us more datafor efficiency work"/>
    <s v="You be reminding parents to topup"/>
    <s v="We may need more data for efficiency work"/>
  </r>
  <r>
    <d v="2026-06-05T00:00:00"/>
    <x v="3"/>
    <x v="5"/>
    <s v="KAKAMEGA"/>
    <s v="ST AGNES IKONYERO PRIMARY"/>
    <n v="25"/>
    <x v="0"/>
    <x v="1"/>
    <x v="0"/>
    <s v="Good"/>
    <x v="0"/>
    <x v="0"/>
    <x v="0"/>
    <s v="The institution provided the school population with ease and on time"/>
    <s v="If the ecde part was separated as per stages ie PP1 and PP2 info separated so that its filled separately (per stream)"/>
    <s v="I just found the tool user friendly and easy to use"/>
    <m/>
  </r>
  <r>
    <d v="2026-06-05T00:00:00"/>
    <x v="0"/>
    <x v="3"/>
    <s v="RUIRUJUJA"/>
    <s v="GARISSA ROAD COMPREHENSIVE SCHOOL"/>
    <n v="33"/>
    <x v="0"/>
    <x v="1"/>
    <x v="1"/>
    <s v="Very Good"/>
    <x v="1"/>
    <x v="1"/>
    <x v="0"/>
    <s v="The app is very fast accurate data"/>
    <s v="I think you guys are perfect in this the app is very 👏👏"/>
    <s v="Giving more time since most of the administration are very slow giving out the data"/>
    <s v="Kobo it's the best app i have come across"/>
  </r>
  <r>
    <d v="2026-06-05T00:00:00"/>
    <x v="4"/>
    <x v="4"/>
    <s v="DAGORETTIWESTLANDS"/>
    <s v="NEW KIHUMBUINI PRIMARY AND JUNIOR SECONDARY SCHOOL"/>
    <n v="50"/>
    <x v="0"/>
    <x v="0"/>
    <x v="0"/>
    <s v="Good"/>
    <x v="0"/>
    <x v="0"/>
    <x v="0"/>
    <s v="It was easier to capture the population because it was arranged in an orderly manner"/>
    <s v="I didn't face any challenge"/>
    <s v="We can improve by Enhancing the design"/>
    <m/>
  </r>
  <r>
    <d v="2026-06-05T00:00:00"/>
    <x v="0"/>
    <x v="0"/>
    <s v="GITHUNGURI 2"/>
    <s v="ST STEPHANIE MIGUTA PRIMARY AND JSS"/>
    <n v="35"/>
    <x v="0"/>
    <x v="0"/>
    <x v="1"/>
    <s v="Very Good"/>
    <x v="1"/>
    <x v="1"/>
    <x v="0"/>
    <s v="All went  I was able to get accurate data from the HOI"/>
    <s v="Not all devices have the drop down of school mes and regions"/>
    <s v="So far so good"/>
    <s v=" at the moment"/>
  </r>
  <r>
    <d v="2026-06-05T00:00:00"/>
    <x v="0"/>
    <x v="0"/>
    <s v="LIMURU 1"/>
    <s v="NGARARIGA COMPREHENSIVE SCHOOL"/>
    <n v="30"/>
    <x v="0"/>
    <x v="0"/>
    <x v="0"/>
    <s v="Good"/>
    <x v="0"/>
    <x v="0"/>
    <x v="0"/>
    <s v="The Tool is well refined and easy to use"/>
    <s v="Please make the baseline data accessible on our end so we can access it whenever needed without having to request it each time"/>
    <s v="The tool could be refined to capture only the overall number per class instead of separating boys and girls"/>
    <m/>
  </r>
  <r>
    <d v="2026-06-05T00:00:00"/>
    <x v="0"/>
    <x v="0"/>
    <s v="LIMURU 2"/>
    <s v="RONGAI PRIMARY SCHOOL"/>
    <n v="21"/>
    <x v="0"/>
    <x v="0"/>
    <x v="1"/>
    <s v="Very Good"/>
    <x v="1"/>
    <x v="1"/>
    <x v="0"/>
    <s v="The system being able to give totals without doing it manually it manually"/>
    <s v=" because everything was okay"/>
    <m/>
    <m/>
  </r>
  <r>
    <d v="2026-06-05T00:00:00"/>
    <x v="9"/>
    <x v="10"/>
    <s v="MURANGA 2"/>
    <s v="GITHAMBIA PRIMARY SCHOOL"/>
    <n v="24"/>
    <x v="3"/>
    <x v="0"/>
    <x v="0"/>
    <s v="Good"/>
    <x v="0"/>
    <x v="0"/>
    <x v="0"/>
    <s v="The cooperation between the administration and us"/>
    <s v="Being given enough time to collect the data"/>
    <s v="The administration to be informed first before any data collection"/>
    <s v="All is wellno challenges"/>
  </r>
  <r>
    <d v="2026-06-05T00:00:00"/>
    <x v="0"/>
    <x v="2"/>
    <s v="KIAMBAA"/>
    <s v="GATATHA COMPREHENSIVE SCHOOL"/>
    <n v="28"/>
    <x v="0"/>
    <x v="0"/>
    <x v="0"/>
    <s v="Very Good"/>
    <x v="0"/>
    <x v="1"/>
    <x v="0"/>
    <s v="I was able to reach out to parents and they responded positively about program"/>
    <s v="Reduced number in manual deductions"/>
    <s v="Always sending messages to parents and emphasise to help the children replace their tags"/>
    <s v="No"/>
  </r>
  <r>
    <d v="2026-06-05T00:00:00"/>
    <x v="0"/>
    <x v="3"/>
    <s v="RUIRUJUJA"/>
    <s v="KIAORA"/>
    <n v="6"/>
    <x v="0"/>
    <x v="0"/>
    <x v="0"/>
    <s v="Good"/>
    <x v="0"/>
    <x v="0"/>
    <x v="0"/>
    <s v="I was able to be given the school enrollment grade by grade by the school admin"/>
    <s v="Location became a challenge for me to get"/>
    <s v="For me all is well location became a challenge because my school is quite interior"/>
    <m/>
  </r>
  <r>
    <d v="2026-06-05T00:00:00"/>
    <x v="9"/>
    <x v="10"/>
    <s v="MURANGA 2"/>
    <s v="NYAGA ECDE PRIMARY AND JUNIOR SCHOOL"/>
    <n v="36"/>
    <x v="2"/>
    <x v="0"/>
    <x v="0"/>
    <s v="Good"/>
    <x v="0"/>
    <x v="0"/>
    <x v="0"/>
    <s v="Thewriting of the grade pergrade"/>
    <m/>
    <m/>
    <s v="No"/>
  </r>
  <r>
    <d v="2026-06-05T00:00:00"/>
    <x v="0"/>
    <x v="3"/>
    <s v="RUIRUJUJA"/>
    <s v="KIGWE PRIMARY SCHOOL"/>
    <n v="20"/>
    <x v="0"/>
    <x v="1"/>
    <x v="1"/>
    <s v="Very Good"/>
    <x v="1"/>
    <x v="1"/>
    <x v="0"/>
    <s v="The head of institution cooperationThe app is easy to use"/>
    <s v="I was satisfied with the overall experience"/>
    <s v="I did not identify any areas that requires improvement"/>
    <s v="No"/>
  </r>
  <r>
    <d v="2026-06-05T00:00:00"/>
    <x v="0"/>
    <x v="3"/>
    <s v="RUIRUJUJA"/>
    <s v="GARISSA ROAD COMPREHENSIVE SCHOOL"/>
    <n v="33"/>
    <x v="0"/>
    <x v="1"/>
    <x v="1"/>
    <s v="Very Good"/>
    <x v="1"/>
    <x v="1"/>
    <x v="0"/>
    <s v="The app is very fast"/>
    <s v="I think you guys are doing the best"/>
    <s v="Giving more time since most of the administration are very slow giving out the data"/>
    <s v="Kobo it's the best app i have come across"/>
  </r>
  <r>
    <d v="2026-06-05T00:00:00"/>
    <x v="3"/>
    <x v="5"/>
    <s v="KAKAMEGA"/>
    <s v="SHITAHO COMMUNITY PRIMARY"/>
    <n v="25"/>
    <x v="0"/>
    <x v="1"/>
    <x v="1"/>
    <s v="Very Good"/>
    <x v="1"/>
    <x v="1"/>
    <x v="0"/>
    <s v="The app is easy to interact with and sometimes data can be collected and saved offline as draft before submission online"/>
    <s v="The apps performance and interface are very good"/>
    <m/>
    <m/>
  </r>
  <r>
    <d v="2026-06-05T00:00:00"/>
    <x v="0"/>
    <x v="0"/>
    <s v="GITHUNGURI 1"/>
    <s v="CIIKO PRIMARY"/>
    <n v="13"/>
    <x v="0"/>
    <x v="1"/>
    <x v="0"/>
    <s v="Very Good"/>
    <x v="0"/>
    <x v="1"/>
    <x v="0"/>
    <s v="How the app makes the work easier i like it"/>
    <s v="Some devices downloading the forms the app is not responding"/>
    <s v="So far so good"/>
    <m/>
  </r>
  <r>
    <d v="2026-06-05T00:00:00"/>
    <x v="4"/>
    <x v="4"/>
    <s v="KAJIADOLANGATA"/>
    <s v="UHURU GARDENS PRIMARY AND JUNIOR SCHOOL"/>
    <n v="39"/>
    <x v="0"/>
    <x v="1"/>
    <x v="1"/>
    <s v="Very Good"/>
    <x v="1"/>
    <x v="1"/>
    <x v="0"/>
    <s v="The fact that by just feeding in the numbers the totals were calculated for you That was a good initiative"/>
    <s v="It well understood No challenge was encountered"/>
    <s v="As for now I have  I appreciate your efforts towards attaining the data collection"/>
    <m/>
  </r>
  <r>
    <d v="2026-06-05T00:00:00"/>
    <x v="4"/>
    <x v="4"/>
    <s v="DAGORETTIWESTLANDS"/>
    <s v="KANGEMI PRIMARY SCHOOL"/>
    <n v="22"/>
    <x v="0"/>
    <x v="0"/>
    <x v="0"/>
    <s v="Good"/>
    <x v="0"/>
    <x v="0"/>
    <x v="0"/>
    <s v="The administration was very helpful in collecting this data"/>
    <s v="The tool would work better with saved drafts whenever you exit the tool"/>
    <s v="Be able to access the submitted document incase you need to adjust the figures"/>
    <m/>
  </r>
  <r>
    <d v="2026-06-05T00:00:00"/>
    <x v="0"/>
    <x v="2"/>
    <s v="KABETE"/>
    <s v="MAHIA"/>
    <n v="5"/>
    <x v="0"/>
    <x v="0"/>
    <x v="0"/>
    <s v="Very Good"/>
    <x v="0"/>
    <x v="1"/>
    <x v="0"/>
    <s v="It was easier to enter data I don't have to put totals at the end"/>
    <s v="Sometimes it's hard to get the correct numbers"/>
    <s v="If possible ECDE to have its own category"/>
    <m/>
  </r>
  <r>
    <d v="2026-06-05T00:00:00"/>
    <x v="4"/>
    <x v="6"/>
    <s v="EMBAKASI"/>
    <s v="KASARANI PRIMARY SCHOOL"/>
    <n v="23"/>
    <x v="0"/>
    <x v="0"/>
    <x v="1"/>
    <s v="Very Good"/>
    <x v="1"/>
    <x v="1"/>
    <x v="0"/>
    <s v="The administration was open to sharing the enrollment data and clearly how the numbers ranges were similar and provided a copy of the same"/>
    <s v="After sending the link it still shows an error of a pending upload"/>
    <s v="The link should open to an exact region and cluster with the schools to save on the back and forth of figuring region the cluster they school it's redundant and problematic since our emails are linked to our respective schools and cluster"/>
    <m/>
  </r>
  <r>
    <d v="2026-06-05T00:00:00"/>
    <x v="0"/>
    <x v="0"/>
    <s v="GITHUNGURI 2"/>
    <s v="NGEMWA PRIMARY AND JUNIOR SCHOOL"/>
    <n v="32"/>
    <x v="0"/>
    <x v="0"/>
    <x v="1"/>
    <s v="Very Good"/>
    <x v="1"/>
    <x v="1"/>
    <x v="0"/>
    <s v="It's was faster"/>
    <s v="It's was okay"/>
    <s v="It's was okay on my side"/>
    <m/>
  </r>
  <r>
    <d v="2026-06-05T00:00:00"/>
    <x v="9"/>
    <x v="10"/>
    <s v="MURANGA 2"/>
    <s v="GICHUMBU PRIMARY SCHOOL"/>
    <n v="23"/>
    <x v="3"/>
    <x v="0"/>
    <x v="0"/>
    <s v="Good"/>
    <x v="0"/>
    <x v="0"/>
    <x v="0"/>
    <s v="Work is good"/>
    <s v="We want data"/>
    <s v="To be professiol"/>
    <s v="Salary isn't okay"/>
  </r>
  <r>
    <d v="2026-06-05T00:00:00"/>
    <x v="9"/>
    <x v="10"/>
    <s v="MURANGA 2"/>
    <s v="CHOMO PRIMARY SCHOOL"/>
    <n v="20"/>
    <x v="3"/>
    <x v="0"/>
    <x v="0"/>
    <s v="Good"/>
    <x v="0"/>
    <x v="0"/>
    <x v="0"/>
    <s v="It helped get the actual learners"/>
    <s v="It it had come direct from the office to Hoi"/>
    <s v="Directly connect to the Hoi"/>
    <s v="Good"/>
  </r>
  <r>
    <d v="2026-06-05T00:00:00"/>
    <x v="9"/>
    <x v="10"/>
    <s v="MURANGA 2"/>
    <s v="THUITA PRIMARY SCHOOL"/>
    <n v="21"/>
    <x v="2"/>
    <x v="1"/>
    <x v="0"/>
    <s v="Good"/>
    <x v="0"/>
    <x v="0"/>
    <x v="0"/>
    <s v="Headteacher coparated"/>
    <s v="No challenge"/>
    <s v="All is well"/>
    <m/>
  </r>
  <r>
    <d v="2026-06-05T00:00:00"/>
    <x v="0"/>
    <x v="0"/>
    <s v="GITHUNGURI 2"/>
    <s v="AK MAGUGU COMPREHENSIVE SCHOOL"/>
    <n v="30"/>
    <x v="0"/>
    <x v="0"/>
    <x v="0"/>
    <s v="Good"/>
    <x v="0"/>
    <x v="0"/>
    <x v="0"/>
    <s v="It was easier to access and workable"/>
    <s v="Access was limitedonly with data bundles"/>
    <s v="Ensure we can access the data which were incomplete"/>
    <m/>
  </r>
  <r>
    <d v="2026-06-05T00:00:00"/>
    <x v="10"/>
    <x v="11"/>
    <s v="NYERI 1"/>
    <s v="GAITHURI PRIMARY SCHOOL"/>
    <n v="23"/>
    <x v="2"/>
    <x v="0"/>
    <x v="0"/>
    <s v="Very Good"/>
    <x v="0"/>
    <x v="1"/>
    <x v="0"/>
    <s v="The population collected was true as it was from the administration"/>
    <s v="They send to you direct instead of liasing with us"/>
    <s v="Communication on our end and on the administration end"/>
    <s v="It was successful"/>
  </r>
  <r>
    <d v="2026-06-05T00:00:00"/>
    <x v="0"/>
    <x v="0"/>
    <s v="GITHUNGURI 2"/>
    <s v="IKINU PRIMARY SCHOOL"/>
    <n v="20"/>
    <x v="0"/>
    <x v="0"/>
    <x v="1"/>
    <s v="Very Good"/>
    <x v="1"/>
    <x v="1"/>
    <x v="0"/>
    <s v="The tool is user friendly and direct The School administration was supportive in allowing me get the needed data"/>
    <s v="There were no challenges experienced other than the school not having baseline population records"/>
    <s v="Honestly so far the process is working well because it provides flexibility we can either use the offline method through the kobocollect  app or the online method via the provided link"/>
    <s v=" at the moment"/>
  </r>
  <r>
    <d v="2026-06-05T00:00:00"/>
    <x v="4"/>
    <x v="4"/>
    <s v="DAGORETTIWESTLANDS"/>
    <s v="GACHUI DAY NURSERY"/>
    <n v="18"/>
    <x v="2"/>
    <x v="0"/>
    <x v="1"/>
    <s v="Very Good"/>
    <x v="1"/>
    <x v="1"/>
    <x v="0"/>
    <s v="The number of succeful taps went increasing day by day while parents topped up day by day"/>
    <s v="The taste of the food was getting better every day"/>
    <s v="Most of the kids preffer yellow beans"/>
    <s v="The food is always delicious"/>
  </r>
  <r>
    <d v="2026-06-05T00:00:00"/>
    <x v="9"/>
    <x v="10"/>
    <s v="MURANGA 2"/>
    <s v="GAKURARI PRIMARY SCHOOL"/>
    <n v="23"/>
    <x v="3"/>
    <x v="0"/>
    <x v="0"/>
    <s v="Good"/>
    <x v="0"/>
    <x v="0"/>
    <x v="0"/>
    <s v="The HOI helps us getting the data population of the school"/>
    <s v="Getting information from headteacher was the bast"/>
    <s v="To take data monthly"/>
    <m/>
  </r>
  <r>
    <d v="2026-06-05T00:00:00"/>
    <x v="2"/>
    <x v="4"/>
    <s v="KAJIADOLANGATA"/>
    <s v="ENOOMATASIANI COMPREHENSIVE SCHOOL"/>
    <n v="34"/>
    <x v="0"/>
    <x v="1"/>
    <x v="1"/>
    <s v="Very Good"/>
    <x v="1"/>
    <x v="1"/>
    <x v="0"/>
    <s v="Everything was easy to fill in the data collection It was well simplified"/>
    <m/>
    <s v="It's good so far"/>
    <m/>
  </r>
  <r>
    <d v="2026-06-05T00:00:00"/>
    <x v="0"/>
    <x v="3"/>
    <s v="RUIRUJUJA"/>
    <s v="TOLL MODEL PRIMARY SCHOOL"/>
    <n v="25"/>
    <x v="0"/>
    <x v="1"/>
    <x v="1"/>
    <s v="Very Good"/>
    <x v="1"/>
    <x v="1"/>
    <x v="0"/>
    <s v="Maximum cooperation from the admin"/>
    <s v="Automation of previous term data"/>
    <s v="Send bundles for the same"/>
    <m/>
  </r>
  <r>
    <d v="2026-06-05T00:00:00"/>
    <x v="0"/>
    <x v="2"/>
    <s v="KIAMBAA"/>
    <s v="KARURI COMPREHENSIVE SCHOOL"/>
    <n v="27"/>
    <x v="0"/>
    <x v="0"/>
    <x v="1"/>
    <s v="Very Good"/>
    <x v="1"/>
    <x v="1"/>
    <x v="0"/>
    <s v="The administration cooperated during the data collection by giving the data"/>
    <s v="The data that is in the administration is different with that the class teachers have So you have to collect the data both from the administration and the class teachers"/>
    <s v="Having administration meetings regularly"/>
    <m/>
  </r>
  <r>
    <d v="2026-06-05T00:00:00"/>
    <x v="4"/>
    <x v="4"/>
    <s v="KAJIADOLANGATA"/>
    <s v="LE PRIMARY SCHOOL"/>
    <n v="17"/>
    <x v="0"/>
    <x v="0"/>
    <x v="1"/>
    <s v="Very Good"/>
    <x v="1"/>
    <x v="1"/>
    <x v="0"/>
    <s v="Online link was fast and accessibleForm was clear and easy to vigateForm loaded fast and submitted data instantly"/>
    <s v="GPS /latitude and longitude was slow"/>
    <s v="Allow manual correction if GPS fails"/>
    <s v="Le population data collection was smooth overall"/>
  </r>
  <r>
    <d v="2026-06-05T00:00:00"/>
    <x v="6"/>
    <x v="8"/>
    <s v="BUNGOMA"/>
    <s v="MUKHAWELI MMK TOWNSHIP PRIMARY SCHOOL"/>
    <n v="37"/>
    <x v="0"/>
    <x v="1"/>
    <x v="0"/>
    <s v="Good"/>
    <x v="0"/>
    <x v="0"/>
    <x v="0"/>
    <s v="Gps detection was top notchFaced no problem vigating"/>
    <m/>
    <s v="Maybe improve on login credentials They seem obvious for anyone to guess the credentials"/>
    <m/>
  </r>
  <r>
    <d v="2026-06-05T00:00:00"/>
    <x v="2"/>
    <x v="4"/>
    <s v="KAJIADOLANGATA"/>
    <s v="KISERIAN PRIMARY SCHOOL"/>
    <n v="23"/>
    <x v="0"/>
    <x v="0"/>
    <x v="0"/>
    <s v="Good"/>
    <x v="0"/>
    <x v="0"/>
    <x v="0"/>
    <s v="All was well as I was provided with relevant data"/>
    <s v="I think this is the best approach as you did it training first then collection"/>
    <m/>
    <m/>
  </r>
  <r>
    <d v="2026-06-05T00:00:00"/>
    <x v="4"/>
    <x v="4"/>
    <s v="KAJIADOLANGATA"/>
    <s v="LE PRIMARY SCHOOL"/>
    <n v="17"/>
    <x v="0"/>
    <x v="0"/>
    <x v="1"/>
    <s v="Very Good"/>
    <x v="1"/>
    <x v="1"/>
    <x v="0"/>
    <s v="Online link was fast and accessibleForm was clear and easy to vigateForm loaded fast and submitted data instantly"/>
    <s v="GPS/latitude  longitude capture was slow"/>
    <s v="Allow manual correction if GPS fails"/>
    <s v="Le population data collection was smooth overall"/>
  </r>
  <r>
    <d v="2026-06-05T00:00:00"/>
    <x v="9"/>
    <x v="10"/>
    <s v="MURANGA 2"/>
    <s v="KAMUNYAKA KIUMU PRIMARY AND JSS"/>
    <n v="31"/>
    <x v="2"/>
    <x v="0"/>
    <x v="0"/>
    <s v="Good"/>
    <x v="0"/>
    <x v="0"/>
    <x v="0"/>
    <s v="The Headteacher gave us maximum support"/>
    <s v="It was okey"/>
    <s v="Possible for it to be filled while offline?"/>
    <m/>
  </r>
  <r>
    <d v="2026-06-05T00:00:00"/>
    <x v="0"/>
    <x v="0"/>
    <s v="LARI"/>
    <s v="BATHI SECONDARY SCHOOL"/>
    <n v="22"/>
    <x v="1"/>
    <x v="0"/>
    <x v="0"/>
    <s v="Good"/>
    <x v="0"/>
    <x v="0"/>
    <x v="0"/>
    <s v="I used the link and it was efficient"/>
    <s v="The termil can't access location hence I had to use my phone"/>
    <s v="Find a way we can use the termil to get the population"/>
    <m/>
  </r>
  <r>
    <d v="2026-06-05T00:00:00"/>
    <x v="5"/>
    <x v="7"/>
    <s v="NYALI  MOMBASA"/>
    <s v="UTANGE COMPREHENSIVE SCHOOL"/>
    <n v="27"/>
    <x v="0"/>
    <x v="1"/>
    <x v="1"/>
    <s v="Very Good"/>
    <x v="1"/>
    <x v="1"/>
    <x v="0"/>
    <s v="No challenge encounterwe had a supportive document from the admin"/>
    <m/>
    <m/>
    <s v="Thumbs up"/>
  </r>
  <r>
    <d v="2026-06-05T00:00:00"/>
    <x v="0"/>
    <x v="0"/>
    <s v="GITHUNGURI 1"/>
    <s v="MATUGUTA PRIMARY SCHOOL"/>
    <n v="23"/>
    <x v="0"/>
    <x v="0"/>
    <x v="1"/>
    <s v="Very Good"/>
    <x v="1"/>
    <x v="1"/>
    <x v="0"/>
    <s v="It was easy to fill the data"/>
    <m/>
    <s v="Everything worked well for me"/>
    <m/>
  </r>
  <r>
    <d v="2026-06-05T00:00:00"/>
    <x v="4"/>
    <x v="6"/>
    <s v="EASTLEIGHSTAREHE"/>
    <s v="JUJA ROAD PRIMARY SCHOOL"/>
    <n v="24"/>
    <x v="0"/>
    <x v="0"/>
    <x v="1"/>
    <s v="Very Good"/>
    <x v="1"/>
    <x v="1"/>
    <x v="0"/>
    <s v="They have paid attention to details kudos"/>
    <s v="N/C"/>
    <s v="N/C"/>
    <s v="N/C"/>
  </r>
  <r>
    <d v="2026-06-05T00:00:00"/>
    <x v="10"/>
    <x v="11"/>
    <s v="NYERI 1"/>
    <s v="GATUMBIRO COMPREHENSIVE SCHOOL"/>
    <n v="30"/>
    <x v="2"/>
    <x v="0"/>
    <x v="1"/>
    <s v="Good"/>
    <x v="1"/>
    <x v="0"/>
    <x v="0"/>
    <s v="Parents topping up"/>
    <s v="What could better is to insist the parents topping up"/>
    <s v="We can improve when we can work as team"/>
    <s v="No"/>
  </r>
  <r>
    <d v="2026-06-05T00:00:00"/>
    <x v="6"/>
    <x v="8"/>
    <s v="BUNGOMA"/>
    <s v="LWANDA FYM PRIMARY AND JUNIOR SCHOOL"/>
    <n v="36"/>
    <x v="0"/>
    <x v="0"/>
    <x v="0"/>
    <s v="Good"/>
    <x v="0"/>
    <x v="0"/>
    <x v="0"/>
    <s v="It was easy in entering numbers for population"/>
    <s v="I did not have any challenge"/>
    <s v="Reducing some levels"/>
    <m/>
  </r>
  <r>
    <d v="2026-06-05T00:00:00"/>
    <x v="6"/>
    <x v="8"/>
    <s v="BUNGOMA"/>
    <s v="ST MONICA'S MUNGETI PRIMARY SCHOOL"/>
    <n v="34"/>
    <x v="0"/>
    <x v="1"/>
    <x v="1"/>
    <s v="Very Good"/>
    <x v="1"/>
    <x v="1"/>
    <x v="0"/>
    <s v="The population take is smooth using the app"/>
    <m/>
    <m/>
    <m/>
  </r>
  <r>
    <d v="2026-06-05T00:00:00"/>
    <x v="9"/>
    <x v="10"/>
    <s v="MURANGA 2"/>
    <s v="GITEME PRIMARY AND JSS"/>
    <n v="22"/>
    <x v="2"/>
    <x v="0"/>
    <x v="0"/>
    <s v="Very Good"/>
    <x v="0"/>
    <x v="1"/>
    <x v="0"/>
    <s v="It's easier to fill and technology wise it quick"/>
    <s v="Bt Hol are making data collection to be more difficult there is a challenge when collecting the datathey say we need more data magement"/>
    <s v="Ongezeni HOI kitu ba it's hard for us back hereju Ku vile they phlase it haibabi walai"/>
    <m/>
  </r>
  <r>
    <d v="2026-06-05T00:00:00"/>
    <x v="0"/>
    <x v="0"/>
    <s v="GITHUNGURI 2"/>
    <s v="NYAGA SECONDARY SCHOOL"/>
    <n v="22"/>
    <x v="1"/>
    <x v="0"/>
    <x v="0"/>
    <s v="Good"/>
    <x v="0"/>
    <x v="0"/>
    <x v="0"/>
    <s v="Well defined and organized"/>
    <m/>
    <s v="Have one data collection for population to prevent confusion"/>
    <m/>
  </r>
  <r>
    <d v="2026-06-05T00:00:00"/>
    <x v="6"/>
    <x v="8"/>
    <s v="BUNGOMA"/>
    <s v="ST ANTHONY WALALA PRIMARY AND JSS"/>
    <n v="33"/>
    <x v="0"/>
    <x v="1"/>
    <x v="0"/>
    <s v="Very Good"/>
    <x v="0"/>
    <x v="1"/>
    <x v="0"/>
    <s v="Real time data"/>
    <s v="No challenge faced"/>
    <s v="Let up continue with this exercise as it helps us improve our improve on the numbers"/>
    <s v="NL"/>
  </r>
  <r>
    <d v="2026-06-05T00:00:00"/>
    <x v="0"/>
    <x v="0"/>
    <s v="LIMURU 2"/>
    <s v="NYANJEGA SECONDARY SCHOOL"/>
    <n v="25"/>
    <x v="1"/>
    <x v="0"/>
    <x v="0"/>
    <s v="Good"/>
    <x v="0"/>
    <x v="0"/>
    <x v="0"/>
    <s v="It made data collection easy It is easy to use"/>
    <s v="I did not have a challenge"/>
    <s v="Allow one to send data even if all fields are not filled"/>
    <m/>
  </r>
  <r>
    <d v="2026-06-05T00:00:00"/>
    <x v="6"/>
    <x v="8"/>
    <s v="BUNGOMA"/>
    <s v="LUYEKHE RC PRIMARY AND JUNIOR SCHOOL"/>
    <n v="36"/>
    <x v="0"/>
    <x v="0"/>
    <x v="1"/>
    <s v="Very Good"/>
    <x v="1"/>
    <x v="1"/>
    <x v="0"/>
    <s v="Data was collected consistently and accurately"/>
    <s v="There were no major challenges experienced during the use of the app"/>
    <s v="No improvements needed as the app is working effectively"/>
    <s v="The tool is efficient and reliable for data collection It supported smooth tracking and reporting throughout the week"/>
  </r>
  <r>
    <d v="2026-06-05T00:00:00"/>
    <x v="0"/>
    <x v="0"/>
    <s v="LIMURU 2"/>
    <s v="KAMANDURA PRIMARY SCHOOL"/>
    <n v="24"/>
    <x v="0"/>
    <x v="0"/>
    <x v="0"/>
    <s v="Good"/>
    <x v="0"/>
    <x v="0"/>
    <x v="0"/>
    <s v="Easy to useIt's not complicated"/>
    <s v="It's good"/>
    <s v="It's okay"/>
    <m/>
  </r>
  <r>
    <d v="2026-06-05T00:00:00"/>
    <x v="0"/>
    <x v="2"/>
    <s v="KABETE"/>
    <s v="KIBIKU PRIMARY AND JUNIOR SCHOOL"/>
    <n v="32"/>
    <x v="0"/>
    <x v="0"/>
    <x v="0"/>
    <s v="Poor"/>
    <x v="0"/>
    <x v="2"/>
    <x v="0"/>
    <s v="The link is easy to use"/>
    <s v="The drop down in the online link takes time to load"/>
    <s v="Using an Excel to collect the data is much easier"/>
    <m/>
  </r>
  <r>
    <d v="2026-06-05T00:00:00"/>
    <x v="9"/>
    <x v="10"/>
    <s v="MURANGA 1"/>
    <s v="GIKUU PRIMARY SCHOOL"/>
    <n v="20"/>
    <x v="3"/>
    <x v="0"/>
    <x v="1"/>
    <s v="Good"/>
    <x v="1"/>
    <x v="0"/>
    <x v="0"/>
    <s v="Everything was good"/>
    <s v="No challenge faced"/>
    <s v="Keep sending messages to parents whose their accounts are sufficients"/>
    <s v="To motivates kitchens"/>
  </r>
  <r>
    <d v="2026-06-05T00:00:00"/>
    <x v="6"/>
    <x v="8"/>
    <s v="BUNGOMA"/>
    <s v="MAKUTANO SA PRIMARY SCHOOL"/>
    <n v="26"/>
    <x v="0"/>
    <x v="1"/>
    <x v="1"/>
    <s v="Very Good"/>
    <x v="1"/>
    <x v="1"/>
    <x v="0"/>
    <s v="The KoBoCollect tool was easy to use with a clear interface that made data collection and submission efficient Data collection was accurate and timely reducing errors and improving the quality of information captured The overall process was well coordited with clear guidelines and smooth support that ebled successful completion of all required activities"/>
    <s v="The process could be improved through enhanced user training faster synchronization in areas with poor internet connectivity and additiol technical support to address challenges promptly and improve overall efficiency"/>
    <s v="Improve by providing regular user training strengthening internet connectivity offering timely technical support and simplifying data collection forms to enhance efficiency and accuracy"/>
    <m/>
  </r>
  <r>
    <d v="2026-06-05T00:00:00"/>
    <x v="0"/>
    <x v="2"/>
    <s v="KIKUYU"/>
    <s v="PCEA MAMA NGI KENYATTA COMPREHENSIVE"/>
    <n v="36"/>
    <x v="0"/>
    <x v="0"/>
    <x v="1"/>
    <s v="Very Good"/>
    <x v="1"/>
    <x v="1"/>
    <x v="0"/>
    <s v="I successfully got the population data"/>
    <s v="I had no challenges"/>
    <s v="To have supporting documents to share with the HOI for easy access of the population data"/>
    <m/>
  </r>
  <r>
    <d v="2026-06-05T00:00:00"/>
    <x v="6"/>
    <x v="8"/>
    <s v="BUNGOMA"/>
    <s v="LUTIRI S/A PRIMARY AND JUNIOR SCHOOL"/>
    <n v="36"/>
    <x v="0"/>
    <x v="0"/>
    <x v="0"/>
    <s v="Good"/>
    <x v="0"/>
    <x v="0"/>
    <x v="0"/>
    <s v="The process of population collection using Kobo has been smooth so far since the app is so fast and doesn't lag"/>
    <s v="Having to double take headcount some days because of kids being sent home for school fees and them coming back in small numbers throughout the day"/>
    <s v="Reduce the number of days of collecting population data to only on Fridays so as to ensure accurate data collection"/>
    <m/>
  </r>
  <r>
    <d v="2026-06-05T00:00:00"/>
    <x v="8"/>
    <x v="9"/>
    <s v="UASINGISHU"/>
    <s v="OASIS PRIMARY SCHOOL"/>
    <n v="20"/>
    <x v="3"/>
    <x v="0"/>
    <x v="1"/>
    <s v="Very Good"/>
    <x v="1"/>
    <x v="1"/>
    <x v="0"/>
    <s v="Everything went wellI didn't experience any challenge"/>
    <m/>
    <s v="It's excellent"/>
    <s v="Keep it up"/>
  </r>
  <r>
    <d v="2026-06-05T00:00:00"/>
    <x v="4"/>
    <x v="6"/>
    <s v="KASARANI"/>
    <s v="MARURA PRIMARY AND JUNIOR SECONDARY SCHOOL"/>
    <n v="42"/>
    <x v="0"/>
    <x v="0"/>
    <x v="0"/>
    <s v="Good"/>
    <x v="0"/>
    <x v="0"/>
    <x v="0"/>
    <s v="The form was well curated and direct"/>
    <s v="The form to be open directly through the app instead of the link"/>
    <s v="The form to be open directly through the app instead of the link"/>
    <m/>
  </r>
  <r>
    <d v="2026-06-05T00:00:00"/>
    <x v="8"/>
    <x v="9"/>
    <s v="UASINGISHU"/>
    <s v="ILLULA INTEGRATED PRIMARY AND JSS"/>
    <n v="33"/>
    <x v="2"/>
    <x v="0"/>
    <x v="0"/>
    <s v="Good"/>
    <x v="0"/>
    <x v="0"/>
    <x v="0"/>
    <s v="the process was smooth"/>
    <s v="Downloading the document"/>
    <s v="The first process to be filled automatically"/>
    <s v="All was easy once the document was downloaded"/>
  </r>
  <r>
    <d v="2026-06-05T00:00:00"/>
    <x v="6"/>
    <x v="8"/>
    <s v="BUNGOMA"/>
    <s v="MUSIKOMA RC PRIMARY SCHOOL"/>
    <n v="26"/>
    <x v="0"/>
    <x v="0"/>
    <x v="0"/>
    <s v="Good"/>
    <x v="0"/>
    <x v="0"/>
    <x v="0"/>
    <s v="It's simple to operate It requires less energy no straining"/>
    <s v="Questions be with answers that you just select for simplicity"/>
    <s v="Make it as questionire in all the attempts so that we just pick the appropriate answers"/>
    <s v="It's the best tool for collecting data"/>
  </r>
  <r>
    <d v="2026-06-05T00:00:00"/>
    <x v="9"/>
    <x v="10"/>
    <s v="MURANGA 2"/>
    <s v="KIMANDI COMPREHENSIVE SCHOOL"/>
    <n v="28"/>
    <x v="3"/>
    <x v="0"/>
    <x v="0"/>
    <s v="Good"/>
    <x v="0"/>
    <x v="0"/>
    <x v="0"/>
    <s v="Through this process we have been able understand how students attend to school"/>
    <s v="It could have better if you as our seniors call our HOI's first and inform them that we shall be having these processes because sometimes they be are being harsh on us"/>
    <s v="By calling the HOIs first"/>
    <s v="Otherwise this processes of collecting data are improving our relationships with our teachers the more we are interacting"/>
  </r>
  <r>
    <d v="2026-06-05T00:00:00"/>
    <x v="8"/>
    <x v="9"/>
    <s v="UASINGISHU"/>
    <s v="CHERAMEI PRIMARY AND JSS"/>
    <n v="24"/>
    <x v="3"/>
    <x v="0"/>
    <x v="0"/>
    <s v="Very Good"/>
    <x v="0"/>
    <x v="1"/>
    <x v="0"/>
    <s v="Everything happened well in cobo because some data were correct"/>
    <s v="Some students were not yet reported to school therefore hard time to get to know if the student will report or not"/>
    <s v="Make that process short and brief explation to some areas"/>
    <m/>
  </r>
  <r>
    <d v="2026-06-05T00:00:00"/>
    <x v="9"/>
    <x v="10"/>
    <s v="MURANGA 2"/>
    <s v="GATHUTHU PRIMARY AND JSS"/>
    <n v="24"/>
    <x v="2"/>
    <x v="0"/>
    <x v="0"/>
    <s v="Good"/>
    <x v="0"/>
    <x v="0"/>
    <x v="0"/>
    <s v="Population went well"/>
    <s v="Shortage of water"/>
    <s v="To have our own tank"/>
    <m/>
  </r>
  <r>
    <d v="2026-06-05T00:00:00"/>
    <x v="8"/>
    <x v="9"/>
    <s v="UASINGISHU"/>
    <s v="ATS KANDIE PRIMARY SCHOOL"/>
    <n v="25"/>
    <x v="3"/>
    <x v="1"/>
    <x v="0"/>
    <s v="Very Good"/>
    <x v="0"/>
    <x v="1"/>
    <x v="0"/>
    <s v="On enrollment side some times doesn't match compared with that one of Kobo collect So it forced us some times to do it manually using class teachers records"/>
    <s v="It could be better if we can be doing it monthly"/>
    <s v="We can improve it by doing monthly"/>
    <s v="It's Good ideame persolly I like it"/>
  </r>
  <r>
    <d v="2026-06-05T00:00:00"/>
    <x v="8"/>
    <x v="9"/>
    <s v="UASINGISHU"/>
    <s v="ILLULA INTEGRATED PRIMARY AND JSS"/>
    <n v="33"/>
    <x v="2"/>
    <x v="0"/>
    <x v="0"/>
    <s v="Good"/>
    <x v="0"/>
    <x v="0"/>
    <x v="0"/>
    <s v="The process was smooth"/>
    <m/>
    <s v="All is well"/>
    <s v="The operation was easy"/>
  </r>
  <r>
    <d v="2026-06-05T00:00:00"/>
    <x v="3"/>
    <x v="5"/>
    <s v="KAKAMEGA"/>
    <s v="EBWAMBWA COMPREHENSIVE PRIMARY"/>
    <n v="30"/>
    <x v="0"/>
    <x v="1"/>
    <x v="0"/>
    <s v="Good"/>
    <x v="0"/>
    <x v="0"/>
    <x v="0"/>
    <s v="It was fast"/>
    <s v="I am happy with how the app is swift"/>
    <s v="I genuinely feel it's working well"/>
    <m/>
  </r>
  <r>
    <d v="2026-06-05T00:00:00"/>
    <x v="3"/>
    <x v="5"/>
    <s v="KAKAMEGA"/>
    <s v="ST THERESA MUSAA COMPREHENSIVE PRIMARY"/>
    <n v="38"/>
    <x v="0"/>
    <x v="1"/>
    <x v="1"/>
    <s v="Good"/>
    <x v="1"/>
    <x v="0"/>
    <x v="0"/>
    <s v="The admin offered the necessary assistance I requested with ease which helped me in collecting the data"/>
    <m/>
    <s v="If room for changes can be allowed since transfers do happen regularly a times after the data has already been submitted"/>
    <m/>
  </r>
  <r>
    <d v="2026-06-05T00:00:00"/>
    <x v="4"/>
    <x v="6"/>
    <s v="EMBAKASI"/>
    <s v="CHIEKO COMPREHENSIVE SCHOOL"/>
    <n v="27"/>
    <x v="0"/>
    <x v="0"/>
    <x v="1"/>
    <s v="Good"/>
    <x v="1"/>
    <x v="0"/>
    <x v="0"/>
    <s v="The admin was willing to provide the enrolment"/>
    <s v="Challenge encounted is that on my end it shows submitted but on the other end it's not seen so I have to redo"/>
    <s v="My suggestion you can group schools for different regions and provide a link for a specific group to minimize on answering many questions"/>
    <m/>
  </r>
  <r>
    <d v="2026-06-05T00:00:00"/>
    <x v="4"/>
    <x v="4"/>
    <s v="DAGORETTIWESTLANDS"/>
    <s v="GACHUI DAY NURSERY"/>
    <n v="18"/>
    <x v="2"/>
    <x v="0"/>
    <x v="1"/>
    <s v="Very Good"/>
    <x v="1"/>
    <x v="1"/>
    <x v="0"/>
    <s v="The food has been always tasty"/>
    <s v="Parents refusing to tap kids"/>
    <s v="In which way  can we tell parents by their phone the balance"/>
    <s v="Food is always tasty"/>
  </r>
  <r>
    <d v="2026-06-05T00:00:00"/>
    <x v="8"/>
    <x v="9"/>
    <s v="UASINGISHU"/>
    <s v="ELDORET BOARDER FARM PRIMARY SCHOOL"/>
    <n v="35"/>
    <x v="3"/>
    <x v="0"/>
    <x v="1"/>
    <s v="Very Good"/>
    <x v="1"/>
    <x v="1"/>
    <x v="0"/>
    <s v="Will help us in efficiency of sending report especially in slack"/>
    <s v="Try en improve our termils not to slow down in tapping"/>
    <s v="Termil system should be invented also it's bundles"/>
    <s v="Thank you for hearing our cry on tapping systems"/>
  </r>
  <r>
    <d v="2026-06-05T00:00:00"/>
    <x v="9"/>
    <x v="10"/>
    <s v="MURANGA 1"/>
    <s v="RWATHIA PRIMARY SCHOOL"/>
    <n v="22"/>
    <x v="3"/>
    <x v="0"/>
    <x v="0"/>
    <s v="Good"/>
    <x v="0"/>
    <x v="0"/>
    <x v="0"/>
    <s v="We will not suffer after being supported with bundles"/>
    <s v="When we'll be supported with bundles"/>
    <s v="Supporting us with bundles"/>
    <s v="Ok"/>
  </r>
  <r>
    <d v="2026-06-05T00:00:00"/>
    <x v="1"/>
    <x v="1"/>
    <s v="KISUMU"/>
    <s v="OGANGO COMPREHENSIVE SCHOOL"/>
    <n v="27"/>
    <x v="0"/>
    <x v="0"/>
    <x v="0"/>
    <s v="Good"/>
    <x v="0"/>
    <x v="0"/>
    <x v="0"/>
    <s v="The tool is simple Data can be saved to draft You can edit your work before submission"/>
    <m/>
    <m/>
    <m/>
  </r>
  <r>
    <d v="2026-06-05T00:00:00"/>
    <x v="3"/>
    <x v="5"/>
    <s v="KAKAMEGA"/>
    <s v="ST JOHN MAHIAKALO COMPREHENSIVE PRIMARY"/>
    <n v="39"/>
    <x v="0"/>
    <x v="1"/>
    <x v="1"/>
    <s v="Very Good"/>
    <x v="1"/>
    <x v="1"/>
    <x v="0"/>
    <s v="The Deputy helped me with data collection"/>
    <s v="It's better when we send a form for the administration to fill and stamp it"/>
    <m/>
    <s v="Sometimes the HOI sends us to classes and collect data from the registers which class teachers find abit awkward"/>
  </r>
  <r>
    <d v="2026-06-05T00:00:00"/>
    <x v="9"/>
    <x v="10"/>
    <s v="MURANGA 1"/>
    <s v="RWATHIA PRIMARY SCHOOL"/>
    <n v="22"/>
    <x v="3"/>
    <x v="0"/>
    <x v="0"/>
    <s v="Good"/>
    <x v="0"/>
    <x v="0"/>
    <x v="0"/>
    <s v="After being supported with bundles"/>
    <s v="We will not suffer after being supported with bundles"/>
    <s v="Supporting us with bundles"/>
    <s v="Ok"/>
  </r>
  <r>
    <d v="2026-06-05T00:00:00"/>
    <x v="8"/>
    <x v="9"/>
    <s v="UASINGISHU"/>
    <s v="KIDIWA PRIMARY SCHOOL"/>
    <n v="21"/>
    <x v="3"/>
    <x v="1"/>
    <x v="0"/>
    <s v="Very Good"/>
    <x v="0"/>
    <x v="1"/>
    <x v="0"/>
    <s v="It went well because of the cooperation of the class teachers"/>
    <s v="Give us a week to collect data so that we can get most accurate information"/>
    <s v="We what to make follow up of the students who don't  eat Most of them  don't have tags because their parents have refuse to replace"/>
    <s v="We need an app where we can know the students have not eaten that day so that we can make followup"/>
  </r>
  <r>
    <d v="2026-06-05T00:00:00"/>
    <x v="8"/>
    <x v="9"/>
    <s v="UASINGISHU"/>
    <s v="ELDORET CHEBARUS PRIMARY AND JUNIOR SCHOOL"/>
    <n v="42"/>
    <x v="2"/>
    <x v="0"/>
    <x v="0"/>
    <s v="Very Good"/>
    <x v="0"/>
    <x v="1"/>
    <x v="0"/>
    <s v="Information was clear"/>
    <s v="Use of the tool to be fast"/>
    <s v="Availability of data"/>
    <m/>
  </r>
  <r>
    <d v="2026-06-05T00:00:00"/>
    <x v="8"/>
    <x v="9"/>
    <s v="UASINGISHU"/>
    <s v="ELDORET CHEBARUS PRIMARY AND JUNIOR SCHOOL"/>
    <n v="42"/>
    <x v="2"/>
    <x v="0"/>
    <x v="0"/>
    <s v="Very Good"/>
    <x v="0"/>
    <x v="1"/>
    <x v="0"/>
    <s v="Information was clear"/>
    <s v="Tool to be fast"/>
    <s v="Availability of data at all times"/>
    <m/>
  </r>
  <r>
    <d v="2026-06-05T00:00:00"/>
    <x v="4"/>
    <x v="6"/>
    <s v="BIDIIZAWADI REGION"/>
    <s v="ST ANNE'S PRIMARY SCHOOL"/>
    <n v="24"/>
    <x v="0"/>
    <x v="0"/>
    <x v="0"/>
    <s v="Good"/>
    <x v="0"/>
    <x v="0"/>
    <x v="0"/>
    <s v="The platform was very easy to use and vigate"/>
    <s v="No challenges to report as the process was seamless from start to finish"/>
    <s v="No recommendations for improvement since the tool worked perfectly for me"/>
    <m/>
  </r>
  <r>
    <d v="2026-06-05T00:00:00"/>
    <x v="8"/>
    <x v="9"/>
    <s v="UASINGISHU"/>
    <s v="ELDORET CHEBARUS PRIMARY AND JUNIOR SCHOOL"/>
    <n v="42"/>
    <x v="2"/>
    <x v="0"/>
    <x v="0"/>
    <s v="Very Good"/>
    <x v="0"/>
    <x v="1"/>
    <x v="0"/>
    <s v="The information was clear"/>
    <s v="The tool to be fast"/>
    <s v="Availability of data"/>
    <m/>
  </r>
  <r>
    <d v="2026-06-05T00:00:00"/>
    <x v="0"/>
    <x v="0"/>
    <s v="LIMURU 2"/>
    <s v="RIRONI PRIMARY SCHOOL"/>
    <n v="21"/>
    <x v="0"/>
    <x v="0"/>
    <x v="0"/>
    <s v="Good"/>
    <x v="0"/>
    <x v="0"/>
    <x v="0"/>
    <s v="It is easier to use"/>
    <s v="Am not facing any problems"/>
    <s v="Am okay with it"/>
    <m/>
  </r>
  <r>
    <d v="2026-06-05T00:00:00"/>
    <x v="3"/>
    <x v="5"/>
    <s v="KAKAMEGA"/>
    <s v="KAKAMEGA MUSLIM COMPREHENSIVE PRIMARY"/>
    <n v="37"/>
    <x v="0"/>
    <x v="1"/>
    <x v="1"/>
    <s v="Very Good"/>
    <x v="1"/>
    <x v="1"/>
    <x v="0"/>
    <s v="Data collection was swift since it didn't include capturing the registers"/>
    <m/>
    <m/>
    <m/>
  </r>
  <r>
    <d v="2026-06-05T00:00:00"/>
    <x v="8"/>
    <x v="9"/>
    <s v="UASINGISHU"/>
    <s v="LANGAS PRIMARY SCHOOL"/>
    <n v="21"/>
    <x v="3"/>
    <x v="1"/>
    <x v="0"/>
    <s v="Very Good"/>
    <x v="0"/>
    <x v="1"/>
    <x v="0"/>
    <s v="Make work easier when filling information"/>
    <m/>
    <s v="When giving out important information and you need feedbackit take time to gather  all the information to gave back feedbacktime should be consider"/>
    <m/>
  </r>
  <r>
    <d v="2026-06-05T00:00:00"/>
    <x v="3"/>
    <x v="5"/>
    <s v="KAKAMEGA"/>
    <s v="BONGO COMPREHENSIVE PRIMARY"/>
    <n v="27"/>
    <x v="0"/>
    <x v="1"/>
    <x v="1"/>
    <s v="Very Good"/>
    <x v="1"/>
    <x v="1"/>
    <x v="0"/>
    <s v="It was perfect infact at place of inserting digits"/>
    <s v="It was perfect"/>
    <s v="At my point the app is fine"/>
    <s v="It's perfect to handle"/>
  </r>
  <r>
    <d v="2026-06-05T00:00:00"/>
    <x v="6"/>
    <x v="8"/>
    <s v="BUNGOMA"/>
    <s v="CENTRAL BAPTIST PRIMARY SCHOOL"/>
    <n v="30"/>
    <x v="0"/>
    <x v="0"/>
    <x v="1"/>
    <s v="Very Good"/>
    <x v="1"/>
    <x v="1"/>
    <x v="0"/>
    <s v="The link is easier and fast to use"/>
    <m/>
    <m/>
    <m/>
  </r>
  <r>
    <d v="2026-06-05T00:00:00"/>
    <x v="0"/>
    <x v="0"/>
    <s v="LIMURU 2"/>
    <s v="KABUKU PRIMARY SCHOOL"/>
    <n v="21"/>
    <x v="0"/>
    <x v="0"/>
    <x v="1"/>
    <s v="Very Good"/>
    <x v="1"/>
    <x v="1"/>
    <x v="0"/>
    <s v="The process of data collection is user friendly and straight to the point"/>
    <s v="The Gps section was not showing the current location only the coordites and one can't tell if the location was correct"/>
    <s v="If the Gps part can be able to show one's location it will be a bit better"/>
    <m/>
  </r>
  <r>
    <d v="2026-06-05T00:00:00"/>
    <x v="0"/>
    <x v="0"/>
    <s v="GITHUNGURI 2"/>
    <s v="MIIRI PRIMARY SCHOOL"/>
    <n v="20"/>
    <x v="0"/>
    <x v="1"/>
    <x v="0"/>
    <s v="Good"/>
    <x v="0"/>
    <x v="0"/>
    <x v="0"/>
    <s v="It was easy to follow and fill in"/>
    <s v="I did not encounter any challenge at all"/>
    <s v="There is really  to improve since the tool was easy to understand and fill in the details"/>
    <m/>
  </r>
  <r>
    <d v="2026-06-05T00:00:00"/>
    <x v="9"/>
    <x v="10"/>
    <s v="MURANGA 2"/>
    <s v="GATURA PRIMARY SCHOOL"/>
    <n v="21"/>
    <x v="3"/>
    <x v="0"/>
    <x v="0"/>
    <s v="Good"/>
    <x v="0"/>
    <x v="0"/>
    <x v="0"/>
    <s v="The headteacher helped us to collect the data easily"/>
    <s v="Some times the headteacher is annoyed with us for always asking for population"/>
    <s v="If we can be given the permission to head count ourselves so that we stop waiting for data for even more than a day"/>
    <s v="No"/>
  </r>
  <r>
    <d v="2026-06-05T00:00:00"/>
    <x v="8"/>
    <x v="9"/>
    <s v="UASINGISHU"/>
    <s v="MWIRUTI PRIMARY SCHOOL"/>
    <n v="22"/>
    <x v="3"/>
    <x v="1"/>
    <x v="0"/>
    <s v="Very Good"/>
    <x v="0"/>
    <x v="1"/>
    <x v="0"/>
    <s v="Feeding grade by grade"/>
    <s v="Using our own phones to feed"/>
    <s v="Feeding using only school population"/>
    <s v="The system is good and easy to access"/>
  </r>
  <r>
    <d v="2026-06-05T00:00:00"/>
    <x v="8"/>
    <x v="9"/>
    <s v="UASINGISHU"/>
    <s v="GREENFIELD COMPREHENSIVE SCHOOL"/>
    <n v="31"/>
    <x v="2"/>
    <x v="1"/>
    <x v="1"/>
    <s v="Good"/>
    <x v="1"/>
    <x v="0"/>
    <x v="0"/>
    <s v="Its afast efficient"/>
    <s v="Online  link"/>
    <s v="Providing other modes"/>
    <s v="Its esy and efficient"/>
  </r>
  <r>
    <d v="2026-06-05T00:00:00"/>
    <x v="8"/>
    <x v="9"/>
    <s v="UASINGISHU"/>
    <s v="ST MARY'S CHEBARUS PRIMARY AND JSS"/>
    <n v="34"/>
    <x v="3"/>
    <x v="0"/>
    <x v="0"/>
    <s v="Good"/>
    <x v="0"/>
    <x v="0"/>
    <x v="0"/>
    <s v="Every asked question was well detailed"/>
    <s v="Before getting directions on how to use the app it was difficult to use it"/>
    <s v="Have some online notes or videos that can help on how to use this and other apps needed for easy workings"/>
    <s v="Thanks for assistance"/>
  </r>
  <r>
    <d v="2026-06-05T00:00:00"/>
    <x v="8"/>
    <x v="9"/>
    <s v="UASINGISHU"/>
    <s v="GK PRISON PRIMARY AND JSS UASIN GISHU"/>
    <n v="37"/>
    <x v="3"/>
    <x v="1"/>
    <x v="1"/>
    <s v="Very Good"/>
    <x v="1"/>
    <x v="1"/>
    <x v="0"/>
    <s v="Data collection was smooth and efficient The Kobo app was easy to use Forms were completed accurately Offline mode worked well"/>
    <s v="Internet connectivity was sometimes slow during synchronization Some respondents needed additiol clarification on a few questions"/>
    <s v="Provide more training on Kobo features Improve internet access for faster data upload Simplify some questions and enhance technical support during data collection"/>
    <s v="Overall the data collection process was successful Thank you for providing an effective and easytouse tool I look forward to using Kobo in future activities"/>
  </r>
  <r>
    <d v="2026-06-05T00:00:00"/>
    <x v="0"/>
    <x v="0"/>
    <s v="GITHUNGURI 2"/>
    <s v="NDIRETI PRIMARY SCHOOL"/>
    <n v="22"/>
    <x v="0"/>
    <x v="0"/>
    <x v="0"/>
    <s v="Very Good"/>
    <x v="0"/>
    <x v="1"/>
    <x v="0"/>
    <s v="Every process was easy"/>
    <s v="Giving Admin heads up about the process"/>
    <s v="Make it easy using the app"/>
    <s v="Link was easy to use"/>
  </r>
  <r>
    <d v="2026-06-05T00:00:00"/>
    <x v="8"/>
    <x v="9"/>
    <s v="UASINGISHU"/>
    <s v="KAPKOROS PRIMARY AND JSS"/>
    <n v="24"/>
    <x v="3"/>
    <x v="1"/>
    <x v="1"/>
    <s v="Very Good"/>
    <x v="1"/>
    <x v="1"/>
    <x v="0"/>
    <s v="All the process was well arrangedgiving you guidelines on what yo choose"/>
    <s v="For now i feel the goal was well achieved"/>
    <s v="Giving us more exercise on cobo collect to be familiar"/>
    <s v="Satisfied"/>
  </r>
  <r>
    <d v="2026-06-05T00:00:00"/>
    <x v="8"/>
    <x v="9"/>
    <s v="UASINGISHU"/>
    <s v="SOSIANI PRIMARY SCHOOL"/>
    <n v="22"/>
    <x v="3"/>
    <x v="0"/>
    <x v="1"/>
    <s v="Very Good"/>
    <x v="1"/>
    <x v="1"/>
    <x v="0"/>
    <s v="Termil network was superbin terms of tappingregistration and appsheet  went good"/>
    <s v="Fruits  to be introduced weekly"/>
    <s v="Menu to be looked upto ie beans to be consumed  once a week"/>
    <s v="The program has really changed livelihood of many in societykids parents and teachers like the program"/>
  </r>
  <r>
    <d v="2026-06-05T00:00:00"/>
    <x v="9"/>
    <x v="10"/>
    <s v="MURANGA 2"/>
    <s v="GITUAMBA PRIMARY AND JSS"/>
    <n v="24"/>
    <x v="2"/>
    <x v="0"/>
    <x v="1"/>
    <s v="Very Good"/>
    <x v="1"/>
    <x v="1"/>
    <x v="0"/>
    <s v="Good flow when collecting data"/>
    <s v="No challenges faced"/>
    <m/>
    <m/>
  </r>
  <r>
    <d v="2026-06-05T00:00:00"/>
    <x v="8"/>
    <x v="9"/>
    <s v="UASINGISHU"/>
    <s v="HURUMA PRIMARY SCHOOL"/>
    <n v="21"/>
    <x v="3"/>
    <x v="1"/>
    <x v="0"/>
    <s v="Good"/>
    <x v="0"/>
    <x v="0"/>
    <x v="0"/>
    <s v="Collecting the information"/>
    <s v="Give time to collect the information because a times you request then a teacher keep on pushing"/>
    <s v="Collection of enrolment should be done termly"/>
    <s v="Enrolment is good because it helps to know schools population"/>
  </r>
  <r>
    <d v="2026-06-05T00:00:00"/>
    <x v="4"/>
    <x v="6"/>
    <s v="EMBAKASI"/>
    <s v="MWIKI PRIMARY SCHOOL"/>
    <n v="20"/>
    <x v="0"/>
    <x v="0"/>
    <x v="0"/>
    <s v="Good"/>
    <x v="0"/>
    <x v="0"/>
    <x v="0"/>
    <s v="The whole process was smooth and easy to fill"/>
    <s v="I encountered difficulties when submitting my population The first two submissions were unsuccessful and the submission was only accepted on the third attempt after which it was visible to the recipient"/>
    <s v="I am not sure why I had to submit for the third time so as to be visible to the recipient Kindly find out why I encounter that Perhaps could be location of the school Apart from that everything was easy to fill and understand"/>
    <s v="Perfect tool for population data collection"/>
  </r>
  <r>
    <d v="2026-06-05T00:00:00"/>
    <x v="8"/>
    <x v="9"/>
    <s v="UASINGISHU"/>
    <s v="GK PRISON PRIMARY AND JSS UASIN GISHU"/>
    <n v="37"/>
    <x v="3"/>
    <x v="1"/>
    <x v="1"/>
    <s v="Very Good"/>
    <x v="1"/>
    <x v="1"/>
    <x v="0"/>
    <s v="Data collection was smooth and efficient The Kobo app was easy to use Forms were completed accurately Offline mode worked well and data synchronization was successful"/>
    <s v="Internet connectivity was sometimes slow during synchronization Some respondents needed additiol clarification on a few questions"/>
    <s v="Increase training opportunities improve synchronization speed and simplify the data collection process to enhance user experience and data quality"/>
    <s v="I appreciate the opportunity to use Kobo for data collection The platform was easy to vigate and helped improve the efficiency and accuracy of data gathering Continued improvements and user support will make the experience even better"/>
  </r>
  <r>
    <d v="2026-06-05T00:00:00"/>
    <x v="9"/>
    <x v="10"/>
    <s v="MURANGA 2"/>
    <s v="KARANGI KIA PRIMARY SCHOOL AND JUNIOR SECONDARY"/>
    <n v="47"/>
    <x v="2"/>
    <x v="0"/>
    <x v="0"/>
    <s v="Good"/>
    <x v="0"/>
    <x v="0"/>
    <x v="0"/>
    <s v="At least u introduced cowpeas"/>
    <m/>
    <s v="Provide data bundles"/>
    <m/>
  </r>
  <r>
    <d v="2026-06-05T00:00:00"/>
    <x v="8"/>
    <x v="9"/>
    <s v="UASINGISHU"/>
    <s v="HURUMA PRIMARY SCHOOL"/>
    <n v="21"/>
    <x v="3"/>
    <x v="1"/>
    <x v="0"/>
    <s v="Good"/>
    <x v="0"/>
    <x v="0"/>
    <x v="0"/>
    <s v="Submission of data"/>
    <s v="Doing enrolment  a times is hard because teachers are somehow busy and you need it urgentlu"/>
    <s v="Collecting termly to know school population"/>
    <s v="This enrolment is easing work"/>
  </r>
  <r>
    <d v="2026-06-05T00:00:00"/>
    <x v="8"/>
    <x v="9"/>
    <s v="UASINGISHU"/>
    <s v="KAPKENDUIYWO PRIMARY SCHOOL"/>
    <n v="27"/>
    <x v="3"/>
    <x v="1"/>
    <x v="0"/>
    <s v="Very Good"/>
    <x v="0"/>
    <x v="1"/>
    <x v="0"/>
    <s v="It's easy to collect data"/>
    <s v="Time line sometimes is too short"/>
    <s v="To give enough time to collect the information because HOI  sometimes they are not around"/>
    <m/>
  </r>
  <r>
    <d v="2026-06-05T00:00:00"/>
    <x v="8"/>
    <x v="9"/>
    <s v="UASINGISHU"/>
    <s v="HURUMA PRIMARY SCHOOL"/>
    <n v="21"/>
    <x v="3"/>
    <x v="0"/>
    <x v="0"/>
    <s v="Good"/>
    <x v="0"/>
    <x v="0"/>
    <x v="0"/>
    <s v="Collecting information"/>
    <s v="Doing it monthly to easen collection"/>
    <s v="Enrilment to be done to know school population"/>
    <s v="Enrolment should be done frequently to know the population decrease or increase"/>
  </r>
  <r>
    <d v="2026-06-05T00:00:00"/>
    <x v="8"/>
    <x v="9"/>
    <s v="UASINGISHU"/>
    <s v="ELDORET BOARDER FARM PRIMARY SCHOOL"/>
    <n v="35"/>
    <x v="3"/>
    <x v="0"/>
    <x v="1"/>
    <s v="Very Good"/>
    <x v="1"/>
    <x v="1"/>
    <x v="0"/>
    <s v="Very is going on well"/>
    <s v="Slow data at times"/>
    <s v="Now it's good"/>
    <m/>
  </r>
  <r>
    <d v="2026-06-05T00:00:00"/>
    <x v="9"/>
    <x v="10"/>
    <s v="MURANGA 1"/>
    <s v="KAHUMBU PRIMARY SCHOOL"/>
    <n v="22"/>
    <x v="3"/>
    <x v="0"/>
    <x v="0"/>
    <s v="Good"/>
    <x v="0"/>
    <x v="0"/>
    <x v="0"/>
    <s v="It helps in data collection"/>
    <s v="Powerful platform for field _based data collection"/>
    <s v="Using mobile data collection efficiency"/>
    <s v="Use skip logic and validation for high data quality"/>
  </r>
  <r>
    <d v="2026-06-05T00:00:00"/>
    <x v="8"/>
    <x v="9"/>
    <s v="UASINGISHU"/>
    <s v="KIAMBAA PRIMARY AND JSS"/>
    <n v="23"/>
    <x v="3"/>
    <x v="0"/>
    <x v="0"/>
    <s v="Very Good"/>
    <x v="0"/>
    <x v="1"/>
    <x v="0"/>
    <s v="It is easy to do"/>
    <s v="More educated"/>
    <s v="We need to learn more"/>
    <m/>
  </r>
  <r>
    <d v="2026-06-05T00:00:00"/>
    <x v="8"/>
    <x v="9"/>
    <s v="UASINGISHU"/>
    <s v="ST PETERS KAMUKUNJI PRIMARY SCHOOL"/>
    <n v="34"/>
    <x v="3"/>
    <x v="0"/>
    <x v="0"/>
    <s v="Very Good"/>
    <x v="0"/>
    <x v="1"/>
    <x v="0"/>
    <s v="Collection of school data"/>
    <s v="Making work easier"/>
    <s v="By collecting data termly not monthly"/>
    <s v="It good and decreasing work loads"/>
  </r>
  <r>
    <d v="2026-06-05T00:00:00"/>
    <x v="8"/>
    <x v="9"/>
    <s v="UASINGISHU"/>
    <s v="HURUMA PRIMARY SCHOOL"/>
    <n v="21"/>
    <x v="3"/>
    <x v="1"/>
    <x v="0"/>
    <s v="Good"/>
    <x v="0"/>
    <x v="0"/>
    <x v="0"/>
    <s v="Feeling the students enrolment"/>
    <s v="A times enrolment is needed urgently and we have ti console the administration so the company should be patient"/>
    <s v="Enrilment shiuld be done each time si that we can know our students populations"/>
    <s v="Our school boys are more than girls since we began feeding programme"/>
  </r>
  <r>
    <d v="2026-06-05T00:00:00"/>
    <x v="0"/>
    <x v="2"/>
    <s v="KABETE"/>
    <s v="WANGIGE COMPREHENSIVE SCHOOL"/>
    <n v="28"/>
    <x v="0"/>
    <x v="1"/>
    <x v="0"/>
    <s v="Good"/>
    <x v="0"/>
    <x v="0"/>
    <x v="0"/>
    <s v="The whole process"/>
    <s v="It was okey on my side"/>
    <s v=" much"/>
    <m/>
  </r>
  <r>
    <d v="2026-06-05T00:00:00"/>
    <x v="9"/>
    <x v="10"/>
    <s v="MURANGA 2"/>
    <s v="GICHUMBU PRIMARY SCHOOL"/>
    <n v="23"/>
    <x v="3"/>
    <x v="0"/>
    <x v="0"/>
    <s v="Good"/>
    <x v="0"/>
    <x v="0"/>
    <x v="0"/>
    <s v="Work has been good and better"/>
    <s v="By adding us salary"/>
    <s v="By buying us more data to keep us updated"/>
    <s v="We are moving up well"/>
  </r>
  <r>
    <d v="2026-06-05T00:00:00"/>
    <x v="8"/>
    <x v="9"/>
    <s v="UASINGISHU"/>
    <s v="ST PETERS KAMUKUNJI PRIMARY SCHOOL"/>
    <n v="34"/>
    <x v="3"/>
    <x v="0"/>
    <x v="1"/>
    <s v="Good"/>
    <x v="1"/>
    <x v="0"/>
    <x v="0"/>
    <s v="Easily capturing population"/>
    <s v="The flow of population capturing"/>
    <s v="Should be captured monthly"/>
    <s v="He in monitoring school population"/>
  </r>
  <r>
    <d v="2026-06-05T00:00:00"/>
    <x v="0"/>
    <x v="2"/>
    <s v="KABETE"/>
    <s v="ACK UTHIRU PRIMARY SCHOOL"/>
    <n v="25"/>
    <x v="0"/>
    <x v="0"/>
    <x v="1"/>
    <s v="Very Good"/>
    <x v="1"/>
    <x v="1"/>
    <x v="0"/>
    <s v="I was able to collect the total population for the school"/>
    <s v="The challenge of trying to collect the population on a daily basis"/>
    <s v="By making the population collection exercise be done once every month"/>
    <m/>
  </r>
  <r>
    <d v="2026-06-05T00:00:00"/>
    <x v="8"/>
    <x v="9"/>
    <s v="UASINGISHU"/>
    <s v="ST MARY'S ELDORET PRIMARY AND JUNIOR SECONDARY SCHOOL"/>
    <n v="53"/>
    <x v="3"/>
    <x v="0"/>
    <x v="0"/>
    <s v="Very Good"/>
    <x v="0"/>
    <x v="1"/>
    <x v="0"/>
    <s v="The teachers cooperation"/>
    <s v="All of this in one place"/>
    <s v="Teachers to be given the tags alsoIndicating teachers who have successfully tapped"/>
    <m/>
  </r>
  <r>
    <d v="2026-06-05T00:00:00"/>
    <x v="8"/>
    <x v="9"/>
    <s v="UASINGISHU"/>
    <s v="KAPYEMIT PRIMARY AND JSS"/>
    <n v="24"/>
    <x v="3"/>
    <x v="1"/>
    <x v="0"/>
    <s v="Good"/>
    <x v="0"/>
    <x v="0"/>
    <x v="0"/>
    <s v="It was easy to use"/>
    <s v="Select a graph for boys and girls"/>
    <s v="Ask more direct questions"/>
    <s v="The administration helped greatly  to make sure that  the data collected was accurate"/>
  </r>
  <r>
    <d v="2026-06-05T00:00:00"/>
    <x v="8"/>
    <x v="9"/>
    <s v="UASINGISHU"/>
    <s v="KAPYEMIT PRIMARY AND JSS"/>
    <n v="24"/>
    <x v="3"/>
    <x v="0"/>
    <x v="0"/>
    <s v="Good"/>
    <x v="0"/>
    <x v="0"/>
    <x v="0"/>
    <s v="it's was easy to use"/>
    <s v="Select a graph for boys and girls"/>
    <s v="Ask more direct questions"/>
    <s v="The administration  supported  to ensure  accurate  data  collection"/>
  </r>
  <r>
    <d v="2026-06-05T00:00:00"/>
    <x v="0"/>
    <x v="3"/>
    <s v="RUIRUJUJA"/>
    <s v="ABBA SALAMA WANCHI PRIMARY SCHOOL"/>
    <n v="33"/>
    <x v="0"/>
    <x v="0"/>
    <x v="1"/>
    <s v="Very Good"/>
    <x v="1"/>
    <x v="1"/>
    <x v="0"/>
    <s v="Being able to proofread data before is a win because it helps reduce any chance of making a mistake  hence improves accuracy"/>
    <s v="A challenge I encounter was when the headteacher was uvailable and the deputy headteacher was busy and engaged making it difficullt to get to get a stamped copy the current school population"/>
    <s v="It's not really a recommendation because after consistent follow up I was able to get the data I needed from the deputy headteacher"/>
    <m/>
  </r>
  <r>
    <d v="2026-06-05T00:00:00"/>
    <x v="8"/>
    <x v="9"/>
    <s v="UASINGISHU"/>
    <s v="KAPCHUMBA PRIMARY AND JSS"/>
    <n v="25"/>
    <x v="3"/>
    <x v="1"/>
    <x v="1"/>
    <s v="Good"/>
    <x v="1"/>
    <x v="0"/>
    <x v="0"/>
    <s v="to use the kob app is easiest way"/>
    <s v="For me that is the good way"/>
    <s v="No all things in kobo is perfect"/>
    <s v="very nice"/>
  </r>
  <r>
    <d v="2026-06-05T00:00:00"/>
    <x v="0"/>
    <x v="0"/>
    <s v="GITHUNGURI 1"/>
    <s v="GITHUNGURI TECHNICAL &amp; SECONDARY SCHOOL"/>
    <n v="39"/>
    <x v="1"/>
    <x v="0"/>
    <x v="0"/>
    <s v="Good"/>
    <x v="0"/>
    <x v="0"/>
    <x v="0"/>
    <s v="&quot;I worked well with customers maged orders efficiently and contributed positively to the team's goals while maintaining a high level of customer"/>
    <s v="For now I don't have any challenges"/>
    <s v="&quot;At Tap2Eat we can improve by ensuring beans are distributed according to the program schedule maintaining consistency in portion sizes and serving meals efficiently to meet customer needs"/>
    <s v="&quot;I have enjoyed working at Tap2Eat The experience has helped me improve my customer service teamwork communication and time magement skills I have learned how to work efficiently in a fastpaced environment while ensuring customers receive quality service"/>
  </r>
  <r>
    <d v="2026-06-05T00:00:00"/>
    <x v="0"/>
    <x v="2"/>
    <s v="KIKUYU"/>
    <s v="NDUMA PRIMARY AND JUNIOR SCHOOL"/>
    <n v="31"/>
    <x v="0"/>
    <x v="1"/>
    <x v="0"/>
    <s v="Good"/>
    <x v="0"/>
    <x v="0"/>
    <x v="0"/>
    <s v="Everything went well no challenges while using the app"/>
    <s v="I didn't experience any challenges so far"/>
    <s v="It's a long process of filling in just shorten it especially while using the grade by grade breakdown"/>
    <m/>
  </r>
  <r>
    <d v="2026-06-05T00:00:00"/>
    <x v="8"/>
    <x v="9"/>
    <s v="UASINGISHU"/>
    <s v="KIPKAREN ROAD PRIMARY SCHOOL"/>
    <n v="28"/>
    <x v="3"/>
    <x v="1"/>
    <x v="1"/>
    <s v="Very Good"/>
    <x v="1"/>
    <x v="1"/>
    <x v="0"/>
    <s v="The app is easy to acces"/>
    <s v="At least we collect data by headcount"/>
    <s v="We improve In sending it on time"/>
    <m/>
  </r>
  <r>
    <d v="2026-06-05T00:00:00"/>
    <x v="3"/>
    <x v="5"/>
    <s v="KAKAMEGA"/>
    <s v="KAKAMEGA TOWNSHIP PRIMARY"/>
    <n v="25"/>
    <x v="0"/>
    <x v="1"/>
    <x v="0"/>
    <s v="Good"/>
    <x v="0"/>
    <x v="0"/>
    <x v="0"/>
    <s v="The app works well"/>
    <s v="Asking for previous data that we had to go and look for it again"/>
    <s v="I think you have to be keeping the data so that when we upload the current population we don't have to start looking for the previous one"/>
    <m/>
  </r>
  <r>
    <d v="2026-06-05T00:00:00"/>
    <x v="8"/>
    <x v="9"/>
    <s v="UASINGISHU"/>
    <s v="KAPYEMIT PRIMARY AND JSS"/>
    <n v="24"/>
    <x v="3"/>
    <x v="1"/>
    <x v="0"/>
    <s v="Good"/>
    <x v="0"/>
    <x v="0"/>
    <x v="0"/>
    <s v="It was easy to use"/>
    <s v="As easy quastions"/>
    <s v="Improve the app"/>
    <s v="The administration collaborated in data delivery"/>
  </r>
  <r>
    <d v="2026-06-05T00:00:00"/>
    <x v="0"/>
    <x v="2"/>
    <s v="KIKUYU"/>
    <s v="KANYIHA PRIMARY AND JUNIOR SCHOOL"/>
    <n v="33"/>
    <x v="0"/>
    <x v="0"/>
    <x v="0"/>
    <s v="Good"/>
    <x v="0"/>
    <x v="0"/>
    <x v="0"/>
    <s v="It's was very easy to fill"/>
    <s v="The tools was okay"/>
    <s v="For me it's was okay and easy to fill"/>
    <m/>
  </r>
  <r>
    <d v="2026-06-05T00:00:00"/>
    <x v="8"/>
    <x v="9"/>
    <s v="UASINGISHU"/>
    <s v="KIPKAREN ROAD PRIMARY SCHOOL"/>
    <n v="28"/>
    <x v="3"/>
    <x v="0"/>
    <x v="0"/>
    <s v="Good"/>
    <x v="0"/>
    <x v="0"/>
    <x v="0"/>
    <s v="Registration of new student"/>
    <s v="Transfer Kobo from termin"/>
    <s v="Put kobo to our phone"/>
    <s v="Okey"/>
  </r>
  <r>
    <d v="2026-06-05T00:00:00"/>
    <x v="0"/>
    <x v="2"/>
    <s v="KIKUYU"/>
    <s v="KAMANGU PRIMARY AND JUNIOR SCHOOL"/>
    <n v="33"/>
    <x v="0"/>
    <x v="0"/>
    <x v="0"/>
    <s v="Good"/>
    <x v="0"/>
    <x v="0"/>
    <x v="0"/>
    <s v="Feeding the data was easy"/>
    <s v="The location was hard to track"/>
    <s v="Automate your location tracker"/>
    <m/>
  </r>
  <r>
    <d v="2026-06-05T00:00:00"/>
    <x v="2"/>
    <x v="4"/>
    <s v="KAJIADOLANGATA"/>
    <s v="OLE KASASI PRIMARY SCHOOL"/>
    <n v="25"/>
    <x v="0"/>
    <x v="0"/>
    <x v="0"/>
    <s v="Good"/>
    <x v="0"/>
    <x v="0"/>
    <x v="0"/>
    <s v="The online link was easy to access and use The questions were clear and the process was smooth Submission was quick"/>
    <s v="Delays in getting information from some Headteachers Poor recordkeeping in some schools HODs and school administrators should be informed in advance to prepare the required data"/>
    <s v="Improve platform speed and stability Provide clearer instructions at the beginning Share a short guide for firsttime users"/>
    <m/>
  </r>
  <r>
    <d v="2026-06-05T00:00:00"/>
    <x v="0"/>
    <x v="2"/>
    <s v="KIKUYU"/>
    <s v="NJUMBI PRIMARY AND JUNIOR SCHOOL"/>
    <n v="32"/>
    <x v="0"/>
    <x v="0"/>
    <x v="0"/>
    <s v="Good"/>
    <x v="0"/>
    <x v="0"/>
    <x v="0"/>
    <s v="It was very easy to fill the form it helped me to know the school population"/>
    <s v="The  tool was okey"/>
    <s v="It was okey"/>
    <m/>
  </r>
  <r>
    <d v="2026-06-05T00:00:00"/>
    <x v="3"/>
    <x v="5"/>
    <s v="KAKAMEGA"/>
    <s v="KAKAMEGA PRIMARY AND JUNIOR SCHOOL"/>
    <n v="34"/>
    <x v="0"/>
    <x v="1"/>
    <x v="1"/>
    <s v="Very Good"/>
    <x v="1"/>
    <x v="1"/>
    <x v="0"/>
    <s v="The process was seamless"/>
    <s v="It's simple and nice"/>
    <s v="Didn't find anything wrong"/>
    <m/>
  </r>
  <r>
    <d v="2026-06-05T00:00:00"/>
    <x v="8"/>
    <x v="9"/>
    <s v="UASINGISHU"/>
    <s v="KIPKAREN ROAD PRIMARY SCHOOL"/>
    <n v="28"/>
    <x v="3"/>
    <x v="1"/>
    <x v="0"/>
    <s v="Good"/>
    <x v="0"/>
    <x v="0"/>
    <x v="0"/>
    <s v="It helps in collecting data easier"/>
    <s v="Give us enough time"/>
    <s v="Put Kobo in our phone"/>
    <m/>
  </r>
  <r>
    <d v="2026-06-05T00:00:00"/>
    <x v="3"/>
    <x v="5"/>
    <s v="KAKAMEGA"/>
    <s v="KAKAMEGA PRIMARY AND JUNIOR SCHOOL"/>
    <n v="34"/>
    <x v="0"/>
    <x v="1"/>
    <x v="1"/>
    <s v="Very Good"/>
    <x v="1"/>
    <x v="1"/>
    <x v="0"/>
    <s v="The process was seamless"/>
    <s v="Maybe reduce the parts that require additiol information"/>
    <s v="It's nice and simple"/>
    <m/>
  </r>
  <r>
    <d v="2026-06-05T00:00:00"/>
    <x v="8"/>
    <x v="9"/>
    <s v="UASINGISHU"/>
    <s v="KAPYEMIT PRIMARY AND JSS"/>
    <n v="24"/>
    <x v="3"/>
    <x v="0"/>
    <x v="1"/>
    <s v="Good"/>
    <x v="1"/>
    <x v="0"/>
    <x v="0"/>
    <s v="The app was easy to use"/>
    <s v="Ask more direct questions"/>
    <s v="Make a graph to separate boys and girls"/>
    <s v="The administration was helpful in data collection and accuracy"/>
  </r>
  <r>
    <d v="2026-06-05T00:00:00"/>
    <x v="9"/>
    <x v="10"/>
    <s v="MURANGA 1"/>
    <s v="MAKUYU PRIMARY SCHOOL"/>
    <n v="21"/>
    <x v="3"/>
    <x v="0"/>
    <x v="0"/>
    <s v="Good"/>
    <x v="0"/>
    <x v="0"/>
    <x v="0"/>
    <s v="It fast does not use more times"/>
    <s v="Net work issues"/>
    <s v="As per now everything is okay"/>
    <m/>
  </r>
  <r>
    <d v="2026-06-05T00:00:00"/>
    <x v="8"/>
    <x v="9"/>
    <s v="UASINGISHU"/>
    <s v="KAPCHUMBA PRIMARY AND JSS"/>
    <n v="25"/>
    <x v="3"/>
    <x v="0"/>
    <x v="0"/>
    <s v="Good"/>
    <x v="0"/>
    <x v="0"/>
    <x v="0"/>
    <s v="Makes projection Abit easier"/>
    <s v="Challenges is that it takes a lot of time when collecting the data"/>
    <s v="Kobo collection to be done monthly instead of termly"/>
    <s v="This makes the work easier"/>
  </r>
  <r>
    <d v="2026-06-05T00:00:00"/>
    <x v="3"/>
    <x v="5"/>
    <s v="KAKAMEGA"/>
    <s v="MUNGLU SCHOOL"/>
    <n v="13"/>
    <x v="0"/>
    <x v="1"/>
    <x v="1"/>
    <s v="Very Good"/>
    <x v="1"/>
    <x v="1"/>
    <x v="0"/>
    <s v="Data collection Saving progress to continue later and find it still intact"/>
    <m/>
    <m/>
    <m/>
  </r>
  <r>
    <d v="2026-06-05T00:00:00"/>
    <x v="8"/>
    <x v="9"/>
    <s v="UASINGISHU"/>
    <s v="ST GABRIEL KING'ONG'O ECDE"/>
    <n v="26"/>
    <x v="2"/>
    <x v="1"/>
    <x v="0"/>
    <s v="Good"/>
    <x v="0"/>
    <x v="0"/>
    <x v="0"/>
    <s v="Every thing"/>
    <s v="Everything was nice"/>
    <s v="It was good"/>
    <s v="all is well"/>
  </r>
  <r>
    <d v="2026-06-05T00:00:00"/>
    <x v="8"/>
    <x v="9"/>
    <s v="UASINGISHU"/>
    <s v="CENTRAL PRIMARY AND JSS UASIN GISHU"/>
    <n v="35"/>
    <x v="2"/>
    <x v="0"/>
    <x v="1"/>
    <s v="Very Good"/>
    <x v="1"/>
    <x v="1"/>
    <x v="0"/>
    <s v="Everything  went well we had good time at work and food always arrive on time"/>
    <s v="By serving enough  food  to kids and listenig to them"/>
    <s v="By charnging the menu sometime kids complain"/>
    <s v="Lets continue working together"/>
  </r>
  <r>
    <d v="2026-06-05T00:00:00"/>
    <x v="0"/>
    <x v="0"/>
    <s v="GITHUNGURI 1"/>
    <s v="GATHIRUINI PRIMARY SCHOOL"/>
    <n v="25"/>
    <x v="0"/>
    <x v="0"/>
    <x v="0"/>
    <s v="Good"/>
    <x v="0"/>
    <x v="0"/>
    <x v="0"/>
    <s v="My number has remained the same"/>
    <m/>
    <m/>
    <s v="So far so good"/>
  </r>
  <r>
    <d v="2026-06-05T00:00:00"/>
    <x v="0"/>
    <x v="2"/>
    <s v="KIKUYU"/>
    <s v="NJUMBI PRIMARY AND JUNIOR SCHOOL"/>
    <n v="32"/>
    <x v="0"/>
    <x v="0"/>
    <x v="0"/>
    <s v="Good"/>
    <x v="0"/>
    <x v="0"/>
    <x v="0"/>
    <s v="It was very easy to fillit helped to know the population"/>
    <s v="It was good"/>
    <s v="It was easy to fill"/>
    <m/>
  </r>
  <r>
    <d v="2026-06-05T00:00:00"/>
    <x v="0"/>
    <x v="0"/>
    <s v="GITHUNGURI 2"/>
    <s v="PCEA MITAHATO SECONDARY SCHOOL"/>
    <n v="30"/>
    <x v="1"/>
    <x v="0"/>
    <x v="0"/>
    <s v="Good"/>
    <x v="0"/>
    <x v="0"/>
    <x v="0"/>
    <s v="everything"/>
    <s v="ensure it tallies wellyou feed the correct numbers but at the end it gives you a different total"/>
    <s v="what you fill in each grade at the end it sometimes doesn't tally correctly"/>
    <m/>
  </r>
  <r>
    <d v="2026-06-05T00:00:00"/>
    <x v="8"/>
    <x v="9"/>
    <s v="UASINGISHU"/>
    <s v="STATE LODGE VIEW PRIMARY SCHOOL"/>
    <n v="31"/>
    <x v="2"/>
    <x v="1"/>
    <x v="0"/>
    <s v="Good"/>
    <x v="0"/>
    <x v="0"/>
    <x v="0"/>
    <s v="Everything went  well"/>
    <s v="In  some way when you wanted to submit the data it refused"/>
    <s v="Has made me acquire new skills for data collection"/>
    <s v="Thanks to  you guys you are always there to help us when a need arise"/>
  </r>
  <r>
    <d v="2026-06-05T00:00:00"/>
    <x v="0"/>
    <x v="0"/>
    <s v="GITHUNGURI 2"/>
    <s v="PCEA KARIA COMPREHENSIVE SCHOOL"/>
    <n v="31"/>
    <x v="0"/>
    <x v="0"/>
    <x v="1"/>
    <s v="Very Good"/>
    <x v="1"/>
    <x v="1"/>
    <x v="0"/>
    <s v="Easy to use"/>
    <m/>
    <m/>
    <m/>
  </r>
  <r>
    <d v="2026-06-05T00:00:00"/>
    <x v="8"/>
    <x v="9"/>
    <s v="UASINGISHU"/>
    <s v="CHEPKOILEL CENTRAL PRIMARY AND JSS"/>
    <n v="34"/>
    <x v="3"/>
    <x v="0"/>
    <x v="1"/>
    <s v="Good"/>
    <x v="1"/>
    <x v="0"/>
    <x v="0"/>
    <s v="We maged to know and discoverr the number of students in a school"/>
    <s v="I have no challenge"/>
    <s v="I trust the progress"/>
    <m/>
  </r>
  <r>
    <d v="2026-06-05T00:00:00"/>
    <x v="4"/>
    <x v="4"/>
    <s v="ATHI RIVERNJIRU"/>
    <s v="KOMAROCK SOUTH COMPREHENSIVE SCHOOL"/>
    <n v="35"/>
    <x v="0"/>
    <x v="0"/>
    <x v="1"/>
    <s v="Very Good"/>
    <x v="1"/>
    <x v="1"/>
    <x v="0"/>
    <s v="Onboarding of vulnerable students as sponsored into the food for education system"/>
    <s v="Currently everything is operating as expected"/>
    <s v="No suggestions"/>
    <m/>
  </r>
  <r>
    <d v="2026-06-05T00:00:00"/>
    <x v="9"/>
    <x v="10"/>
    <s v="MURANGA 2"/>
    <s v="GATIIGURU PRIMARY AND JSS"/>
    <n v="25"/>
    <x v="3"/>
    <x v="0"/>
    <x v="1"/>
    <s v="Very Good"/>
    <x v="1"/>
    <x v="1"/>
    <x v="0"/>
    <s v="The simplicity of the in filling in the data"/>
    <s v="Increase the countdown during submitting to provide time to take a picture or a screenshot"/>
    <m/>
    <s v="Experience was Toptier"/>
  </r>
  <r>
    <d v="2026-06-05T00:00:00"/>
    <x v="8"/>
    <x v="9"/>
    <s v="UASINGISHU"/>
    <s v="RACECOURSE PRIMARY"/>
    <n v="18"/>
    <x v="3"/>
    <x v="1"/>
    <x v="0"/>
    <s v="Good"/>
    <x v="0"/>
    <x v="0"/>
    <x v="0"/>
    <s v="The app  makes work more easier"/>
    <s v="The app could store  as many information as possible"/>
    <s v="Most of the information  should be stored in the app"/>
    <s v="It is the easiest app and  more  reliable"/>
  </r>
  <r>
    <d v="2026-06-05T00:00:00"/>
    <x v="11"/>
    <x v="12"/>
    <m/>
    <s v="KIVULINI COMPREHENSIVE SCHOOL"/>
    <n v="29"/>
    <x v="2"/>
    <x v="1"/>
    <x v="1"/>
    <s v="Good"/>
    <x v="1"/>
    <x v="0"/>
    <x v="0"/>
    <s v="Filling  the questions"/>
    <s v="Downloading the app"/>
    <s v="All is well"/>
    <s v="The process was good"/>
  </r>
  <r>
    <d v="2026-06-05T00:00:00"/>
    <x v="11"/>
    <x v="12"/>
    <s v="NAKURU"/>
    <s v="KIBUNJA HIGHWAY SCHOOL"/>
    <n v="22"/>
    <x v="2"/>
    <x v="0"/>
    <x v="0"/>
    <s v="Good"/>
    <x v="0"/>
    <x v="0"/>
    <x v="0"/>
    <s v="Filling population data went smoothly"/>
    <s v="Using the app was challenging somehow"/>
    <s v="Using it regularly"/>
    <s v="It was interesting to become familiar with it"/>
  </r>
  <r>
    <d v="2026-06-05T00:00:00"/>
    <x v="9"/>
    <x v="10"/>
    <s v="MURANGA 2"/>
    <s v="KIBAAKA COMPREHENSIVE SCHOOL"/>
    <n v="28"/>
    <x v="2"/>
    <x v="0"/>
    <x v="0"/>
    <s v="Good"/>
    <x v="0"/>
    <x v="0"/>
    <x v="0"/>
    <s v="Good cooperation and fantastic r/latioship"/>
    <s v="Network butweareuptothat and alsoprovision of working materials eg masks detergent etc"/>
    <s v="Provision of working materials on time"/>
    <s v="Congratulations to the department for the good progress"/>
  </r>
  <r>
    <d v="2026-06-05T00:00:00"/>
    <x v="11"/>
    <x v="12"/>
    <s v="NAKURU"/>
    <s v="KIVULINI COMPREHENSIVE SCHOOL"/>
    <n v="29"/>
    <x v="2"/>
    <x v="1"/>
    <x v="0"/>
    <s v="Very Good"/>
    <x v="0"/>
    <x v="1"/>
    <x v="0"/>
    <s v="Filling the gaps"/>
    <s v="Downloading  the app"/>
    <s v="All is well"/>
    <m/>
  </r>
  <r>
    <d v="2026-06-05T00:00:00"/>
    <x v="1"/>
    <x v="1"/>
    <s v="KISUMU"/>
    <s v="WANDIEGE PRIMARY ECDE AND JUNIOR SECONDARY SCHOOL"/>
    <n v="49"/>
    <x v="0"/>
    <x v="0"/>
    <x v="1"/>
    <s v="Very Good"/>
    <x v="1"/>
    <x v="1"/>
    <x v="0"/>
    <s v="Keying in the different data collected individually"/>
    <s v="No challenge was experienced"/>
    <s v="Everything is fine as it is"/>
    <m/>
  </r>
  <r>
    <d v="2026-06-05T00:00:00"/>
    <x v="9"/>
    <x v="10"/>
    <s v="MURANGA 2"/>
    <s v="KIBAAKA COMPREHENSIVE SCHOOL"/>
    <n v="28"/>
    <x v="2"/>
    <x v="0"/>
    <x v="0"/>
    <s v="Very Good"/>
    <x v="0"/>
    <x v="1"/>
    <x v="0"/>
    <s v="Healthy and appetising meal and also good relationship"/>
    <s v="Lack of working materials on time and poor network"/>
    <s v="Providing enough materials every term"/>
    <s v="Congratulations to the f4e team for nice progress"/>
  </r>
  <r>
    <d v="2026-06-05T00:00:00"/>
    <x v="9"/>
    <x v="10"/>
    <s v="MURANGA 2"/>
    <s v="NDUNYU CHEGE PRIMARY AND JUNIOR SECONDARY SCHOOL "/>
    <n v="49"/>
    <x v="3"/>
    <x v="0"/>
    <x v="1"/>
    <s v="Very Good"/>
    <x v="1"/>
    <x v="1"/>
    <x v="0"/>
    <s v="Everything  was good"/>
    <s v="Grade by grade  population   takes alot of time"/>
    <s v="Issuing  of bundles will attending  to it"/>
    <m/>
  </r>
  <r>
    <d v="2026-06-05T00:00:00"/>
    <x v="9"/>
    <x v="10"/>
    <s v="MURANGA 2"/>
    <s v="KIBAAKA COMPREHENSIVE SCHOOL"/>
    <n v="28"/>
    <x v="2"/>
    <x v="0"/>
    <x v="0"/>
    <s v="Very Good"/>
    <x v="0"/>
    <x v="1"/>
    <x v="0"/>
    <s v="Healthy and balanced dietalso good relationship"/>
    <s v="Provision of working materials eg masks and detergent"/>
    <s v="Having many meetings if possible and having trips or fun's for refreshments"/>
    <s v="Kudos to f4e team for excellent progress"/>
  </r>
  <r>
    <d v="2026-06-05T00:00:00"/>
    <x v="9"/>
    <x v="10"/>
    <s v="MURANGA 2"/>
    <s v="KIBAAKA COMPREHENSIVE SCHOOL"/>
    <n v="28"/>
    <x v="2"/>
    <x v="0"/>
    <x v="1"/>
    <s v="Good"/>
    <x v="1"/>
    <x v="0"/>
    <x v="0"/>
    <s v="Healthy and balanced diet provided"/>
    <s v="Providing working materials immediately during schoolopenings"/>
    <s v="Plan for various trip to improve our working methods"/>
    <s v="Kudos f4e team for excellent progress"/>
  </r>
  <r>
    <d v="2026-06-05T00:00:00"/>
    <x v="4"/>
    <x v="6"/>
    <s v="BIDII ZAWADI REGION"/>
    <s v="MBOTELA DAY NURSERY"/>
    <n v="19"/>
    <x v="0"/>
    <x v="0"/>
    <x v="0"/>
    <s v="Good"/>
    <x v="0"/>
    <x v="0"/>
    <x v="0"/>
    <s v="It was seemless"/>
    <s v="It's all good"/>
    <s v="Perfect"/>
    <m/>
  </r>
  <r>
    <d v="2026-06-05T00:00:00"/>
    <x v="0"/>
    <x v="0"/>
    <s v="LIMURU 2"/>
    <s v="NYORO PRIMARY SCHOOL"/>
    <n v="20"/>
    <x v="0"/>
    <x v="0"/>
    <x v="1"/>
    <s v="Very Good"/>
    <x v="1"/>
    <x v="1"/>
    <x v="0"/>
    <s v="The step by step focus on particulars"/>
    <s v="Class by class data without the gender"/>
    <s v="Auto fill data from when the program started for the data was hard to get worked with current admin estimations"/>
    <m/>
  </r>
  <r>
    <d v="2026-06-05T00:00:00"/>
    <x v="4"/>
    <x v="6"/>
    <s v="BIDII ZAWADI REGION"/>
    <s v="BAHATI PRIMARY AND JUNIOR SECONDARY SCHOOL"/>
    <n v="42"/>
    <x v="0"/>
    <x v="0"/>
    <x v="1"/>
    <s v="Very Good"/>
    <x v="1"/>
    <x v="1"/>
    <x v="0"/>
    <s v="Data collection made easier and fast"/>
    <m/>
    <m/>
    <m/>
  </r>
  <r>
    <d v="2026-06-05T00:00:00"/>
    <x v="0"/>
    <x v="2"/>
    <s v="KABETE"/>
    <s v="KINGEERO COMPREHENSIVE SCHOOL"/>
    <n v="29"/>
    <x v="0"/>
    <x v="0"/>
    <x v="0"/>
    <s v="Good"/>
    <x v="0"/>
    <x v="0"/>
    <x v="0"/>
    <s v="Collaboration with specific class teachers"/>
    <s v="Ecde magers can be intergrated better"/>
    <s v="Engage Ecde magers to feel part of the project"/>
    <m/>
  </r>
  <r>
    <d v="2026-06-05T00:00:00"/>
    <x v="8"/>
    <x v="9"/>
    <s v="UASINGISHU"/>
    <s v="OASIS PRIMARY SCHOOL"/>
    <n v="20"/>
    <x v="3"/>
    <x v="0"/>
    <x v="1"/>
    <s v="Very Good"/>
    <x v="1"/>
    <x v="1"/>
    <x v="0"/>
    <s v="Time consuming"/>
    <m/>
    <s v="by practicing  regularlyfor creativity"/>
    <m/>
  </r>
  <r>
    <d v="2026-06-05T00:00:00"/>
    <x v="0"/>
    <x v="2"/>
    <s v="KIKUYU"/>
    <s v="RIUNDERI PRIMARY AND JUNIOR SCHOOL"/>
    <n v="34"/>
    <x v="0"/>
    <x v="0"/>
    <x v="0"/>
    <s v="Good"/>
    <x v="0"/>
    <x v="0"/>
    <x v="0"/>
    <s v="Data collection"/>
    <s v="We do it weekly"/>
    <s v="Good"/>
    <s v="No"/>
  </r>
  <r>
    <d v="2026-06-06T00:00:00"/>
    <x v="9"/>
    <x v="10"/>
    <s v="MURANGA 2"/>
    <s v="MABAE COMPREHENSIVE SCHOOL"/>
    <n v="26"/>
    <x v="2"/>
    <x v="0"/>
    <x v="0"/>
    <s v="Good"/>
    <x v="0"/>
    <x v="0"/>
    <x v="0"/>
    <s v="We had to know the no of students"/>
    <s v="If we feed the whole school"/>
    <s v="AV a talk with parent to reduce failed taps"/>
    <m/>
  </r>
  <r>
    <d v="2026-06-06T00:00:00"/>
    <x v="8"/>
    <x v="9"/>
    <s v="UASINGISHU"/>
    <s v="HURUMA PRIMARY SCHOOL"/>
    <n v="21"/>
    <x v="3"/>
    <x v="1"/>
    <x v="0"/>
    <s v="Good"/>
    <x v="0"/>
    <x v="0"/>
    <x v="0"/>
    <s v="Issuing informatiom"/>
    <s v="Some teachers does not give information immediately so you have to follow them"/>
    <s v="Doing each other"/>
    <s v="Doing this monthly to know our school population is increasing or decreasing and also since we began feeding programme boys are more than girls"/>
  </r>
  <r>
    <d v="2026-06-06T00:00:00"/>
    <x v="0"/>
    <x v="0"/>
    <s v="GITHUNGURI 1"/>
    <s v="GATITU COMPREHENSIVE SCHOOL"/>
    <n v="27"/>
    <x v="0"/>
    <x v="1"/>
    <x v="1"/>
    <s v="Very Good"/>
    <x v="1"/>
    <x v="1"/>
    <x v="0"/>
    <s v="The class teachersas instructed by the deputy headteacherdid a headcount amidst being aware of the number of studentsthen submitted the right numbers per class thus simplifying the process"/>
    <s v="The process was okayno complains"/>
    <s v="When the school admits/registers a new studentcan there be edit buttons in the population collection tool where we can update as they come rather than awaiting the term to end and start of another term for the population update?"/>
    <m/>
  </r>
  <r>
    <d v="2026-06-06T00:00:00"/>
    <x v="0"/>
    <x v="0"/>
    <s v="GITHUNGURI 2"/>
    <s v="KIAIRIA PRIMARY AND JUNIOR SECONDARY SCHOOL "/>
    <n v="44"/>
    <x v="0"/>
    <x v="0"/>
    <x v="1"/>
    <s v="Very Good"/>
    <x v="1"/>
    <x v="1"/>
    <x v="0"/>
    <s v="The mode of collection on grade by grade and the criteria of having boys and girls separately was incredible"/>
    <s v="No challenges faced the process was well done"/>
    <s v="For now "/>
    <m/>
  </r>
  <r>
    <d v="2026-06-06T00:00:00"/>
    <x v="0"/>
    <x v="3"/>
    <s v="RUIRU GITHUNGURI"/>
    <s v="MWIKI COMPREHENSIVE SCHOOL"/>
    <n v="26"/>
    <x v="0"/>
    <x v="1"/>
    <x v="1"/>
    <s v="Very Good"/>
    <x v="1"/>
    <x v="1"/>
    <x v="0"/>
    <s v="The app is so easy to useSchool admin very supportive"/>
    <s v="There was no any challenge"/>
    <s v="On my end the app is okay"/>
    <m/>
  </r>
  <r>
    <d v="2026-06-06T00:00:00"/>
    <x v="4"/>
    <x v="4"/>
    <s v="ATHI RIVERNJIRU"/>
    <s v="KOMAROCK PRIMARY AND JUNIOR SCHOOL"/>
    <n v="34"/>
    <x v="0"/>
    <x v="0"/>
    <x v="1"/>
    <s v="Very Good"/>
    <x v="1"/>
    <x v="1"/>
    <x v="0"/>
    <s v="The school administration was cooperative in sharing the attendance I also liked that when filling the population it was grouped by class which made it easier to fill the population Also the system automatically doing the additions that really went a long way"/>
    <s v="On my end I didn't experience any challenge"/>
    <s v="All is well"/>
    <m/>
  </r>
  <r>
    <d v="2026-06-06T00:00:00"/>
    <x v="4"/>
    <x v="4"/>
    <s v="KAJIADO LANGATA"/>
    <s v="LANG'ATA WEST PRIMARY"/>
    <n v="21"/>
    <x v="0"/>
    <x v="0"/>
    <x v="0"/>
    <s v="Good"/>
    <x v="0"/>
    <x v="0"/>
    <x v="0"/>
    <s v="I maged to get the population which was hard to get"/>
    <s v="The tool app didn't work well for me"/>
    <s v="Maybe revisit the tool app again"/>
    <s v="I would appreciate if the app works easier for me"/>
  </r>
  <r>
    <d v="2026-06-06T00:00:00"/>
    <x v="0"/>
    <x v="2"/>
    <s v="KABETE"/>
    <s v="CURA COMPREHENSIVE SCHOOL"/>
    <n v="25"/>
    <x v="0"/>
    <x v="1"/>
    <x v="1"/>
    <s v="Good"/>
    <x v="1"/>
    <x v="0"/>
    <x v="0"/>
    <s v="It usually goes smoothly because of its reliable offline capabilities It elimites manual data  entry and provide automatic summary"/>
    <s v="No challenges"/>
    <s v="On my side is okay for now because it provides a step by step guide on how to configure"/>
    <m/>
  </r>
  <r>
    <d v="2026-06-06T00:00:00"/>
    <x v="0"/>
    <x v="3"/>
    <s v="RUIRU GITHUNGURI"/>
    <s v="MARY IMMACULATE PRIMARY AND JSS"/>
    <n v="31"/>
    <x v="0"/>
    <x v="0"/>
    <x v="1"/>
    <s v="Very Good"/>
    <x v="1"/>
    <x v="1"/>
    <x v="0"/>
    <s v="Grade by grade breakdown and we could fill in the form according to gender and per grade"/>
    <s v="The administration in my school is always hesitant with the population updates"/>
    <s v="Make call to the hesitant admin so they are sure we don't use the population updates outside food4education"/>
    <s v="Exercising the population data collection after opening schools and a week before closing would give almost numbers"/>
  </r>
  <r>
    <d v="2026-06-06T00:00:00"/>
    <x v="10"/>
    <x v="11"/>
    <s v="NYERI 1"/>
    <s v="KIGWANDI PRIMARY SCHOOL"/>
    <n v="23"/>
    <x v="2"/>
    <x v="0"/>
    <x v="1"/>
    <s v="Very Good"/>
    <x v="1"/>
    <x v="1"/>
    <x v="0"/>
    <s v="I can say the great thing about using the Kobotoolbox is that it saves timeKnowing the location of the schoolIt also gives accuracy"/>
    <s v="The challenge that I encountered was getting the altitude &amp; longitude couldn't come automaticallythe process getting the"/>
    <s v="I can  suggest that even our school admin also to be aware of this process of data collection of their schools"/>
    <s v="I can say the process is great"/>
  </r>
  <r>
    <d v="2026-06-06T00:00:00"/>
    <x v="3"/>
    <x v="5"/>
    <s v="KAKAMEGA"/>
    <s v="ELUFAFWA COMMUNITY SCHOOL"/>
    <n v="25"/>
    <x v="0"/>
    <x v="0"/>
    <x v="0"/>
    <s v="Very Good"/>
    <x v="0"/>
    <x v="1"/>
    <x v="0"/>
    <s v="The admin was positive in helping track the daily attendance of learners in school"/>
    <m/>
    <s v="Include the total attendance in the slack daily report"/>
    <m/>
  </r>
  <r>
    <d v="2026-06-06T00:00:00"/>
    <x v="0"/>
    <x v="2"/>
    <s v="KABETE"/>
    <s v="KARURA KA NYUNGU COMPREHENSIVE SCHOOL"/>
    <n v="37"/>
    <x v="0"/>
    <x v="1"/>
    <x v="0"/>
    <s v="Good"/>
    <x v="0"/>
    <x v="0"/>
    <x v="0"/>
    <s v="It was very easy and accurate"/>
    <s v="On my end all was well"/>
    <s v="All was well"/>
    <m/>
  </r>
  <r>
    <d v="2026-06-07T00:00:00"/>
    <x v="3"/>
    <x v="5"/>
    <s v="KAKAMEGA"/>
    <s v="ST BARBARA ROSTERMAN PRIMARY"/>
    <n v="28"/>
    <x v="0"/>
    <x v="1"/>
    <x v="0"/>
    <s v="Good"/>
    <x v="0"/>
    <x v="0"/>
    <x v="0"/>
    <s v="The data collection process was smooth and well organized Most learners were captured successfully The tool was easy to use and data submission was completed on time Support from school staff facilitated the exercise"/>
    <s v="Some learner records required verification and correction"/>
    <s v="Enhance the tool's speed and offline functiolity"/>
    <m/>
  </r>
  <r>
    <d v="2026-06-07T00:00:00"/>
    <x v="0"/>
    <x v="2"/>
    <s v="KIAMBAA"/>
    <s v="THIMBIGUA PRIMARY SCHOOL"/>
    <n v="24"/>
    <x v="0"/>
    <x v="1"/>
    <x v="1"/>
    <s v="Very Good"/>
    <x v="1"/>
    <x v="1"/>
    <x v="0"/>
    <s v="You had an option to break down the data received either by a total number or by genderThe tool is able to compile the total number making it easy to avoid errors"/>
    <m/>
    <s v="If the data can have a breakdown in terms of classes with several streams since some data you receive in stream format to avoid errors"/>
    <m/>
  </r>
  <r>
    <d v="2026-06-07T00:00:00"/>
    <x v="0"/>
    <x v="2"/>
    <s v="KIAMBAA"/>
    <s v="ST AUGUSTINE GATONO PRIMARY"/>
    <n v="27"/>
    <x v="0"/>
    <x v="0"/>
    <x v="0"/>
    <s v="Very Good"/>
    <x v="0"/>
    <x v="1"/>
    <x v="0"/>
    <s v="Easy input of data"/>
    <m/>
    <m/>
    <m/>
  </r>
  <r>
    <d v="2026-06-07T00:00:00"/>
    <x v="9"/>
    <x v="10"/>
    <s v="MURANGA 2"/>
    <s v="KIRWARA DEB PRIMARY SCHOOL AND JSS"/>
    <n v="34"/>
    <x v="2"/>
    <x v="0"/>
    <x v="0"/>
    <s v="Good"/>
    <x v="0"/>
    <x v="0"/>
    <x v="0"/>
    <s v="Everything went well"/>
    <s v="No challenges"/>
    <s v="No"/>
    <s v="No"/>
  </r>
  <r>
    <d v="2026-06-07T00:00:00"/>
    <x v="0"/>
    <x v="3"/>
    <s v="RUIRUJUJA"/>
    <s v="KIMUCHU PRIMARY SCHOOL"/>
    <n v="22"/>
    <x v="0"/>
    <x v="0"/>
    <x v="1"/>
    <s v="Very Good"/>
    <x v="1"/>
    <x v="1"/>
    <x v="0"/>
    <s v="The fact that the tool was able to calculate for me the totals and all I had to do is get the correct data Most teachers also cooperated very well in helping me get the correct data"/>
    <s v="Challenges that I encountered during the exercise was The school has very high population and geographically big so locating class teachers for each class was very time consuming"/>
    <s v="For such a big school you can have a tapper come early to help with other tasks as I undertake the population exercise"/>
    <m/>
  </r>
  <r>
    <d v="2026-06-08T00:00:00"/>
    <x v="0"/>
    <x v="0"/>
    <s v="LIMURU 2"/>
    <s v="NGECHA PRIMARY SCHOOL"/>
    <n v="21"/>
    <x v="0"/>
    <x v="0"/>
    <x v="0"/>
    <s v="Very Good"/>
    <x v="0"/>
    <x v="1"/>
    <x v="0"/>
    <s v="The population collection was smooth"/>
    <s v="Everything was okay"/>
    <m/>
    <m/>
  </r>
  <r>
    <d v="2026-06-08T00:00:00"/>
    <x v="0"/>
    <x v="0"/>
    <s v="GITHUNGURI 1"/>
    <s v="KIAMBURURU COMPREHENSIVE SCHOOL"/>
    <n v="31"/>
    <x v="0"/>
    <x v="1"/>
    <x v="0"/>
    <s v="Very Good"/>
    <x v="0"/>
    <x v="1"/>
    <x v="0"/>
    <s v="The app is easy to use and fast in data input making collection fast and accurate"/>
    <s v="The application works well"/>
    <s v="It is good"/>
    <m/>
  </r>
  <r>
    <d v="2026-06-08T00:00:00"/>
    <x v="0"/>
    <x v="2"/>
    <s v="KABETE"/>
    <s v="UPPER KIHARA COMPREHENSIVE SCHOOL"/>
    <n v="33"/>
    <x v="0"/>
    <x v="0"/>
    <x v="0"/>
    <s v="Good"/>
    <x v="0"/>
    <x v="0"/>
    <x v="0"/>
    <s v="The whole process was smooth"/>
    <s v="The form was clear and questions were easy to understand"/>
    <s v="I think it was okay"/>
    <m/>
  </r>
  <r>
    <d v="2026-06-08T00:00:00"/>
    <x v="0"/>
    <x v="2"/>
    <s v="KABETE"/>
    <s v="ACK KIRANGARI PRIMARY AND JUNIOR SCHOOL"/>
    <n v="39"/>
    <x v="0"/>
    <x v="0"/>
    <x v="0"/>
    <s v="Good"/>
    <x v="0"/>
    <x v="0"/>
    <x v="0"/>
    <s v="The mode of online data mode was simplified"/>
    <s v="I had a challenge with the admin when collecting data They had no save copy  Took me about a week to filly have the data"/>
    <s v="More time to collect the data if admin r not ready with it"/>
    <m/>
  </r>
  <r>
    <d v="2026-06-05T00:00:00"/>
    <x v="0"/>
    <x v="0"/>
    <s v="GITHUNGURI 1"/>
    <s v="KINDIGA COMPREHENSIVE SCHOOL"/>
    <n v="28"/>
    <x v="0"/>
    <x v="0"/>
    <x v="1"/>
    <s v="Good"/>
    <x v="1"/>
    <x v="0"/>
    <x v="0"/>
    <s v="The administration gave me accurate data regarding the populationThe admin also cooperated smoothly to give me the data especially the HOi"/>
    <m/>
    <s v="All was good F4EHongera👏"/>
    <m/>
  </r>
  <r>
    <d v="2026-06-08T00:00:00"/>
    <x v="0"/>
    <x v="2"/>
    <s v="KABETE"/>
    <s v="GATUABU PRIMARY AND JUNIOR SCHOOL"/>
    <n v="33"/>
    <x v="0"/>
    <x v="1"/>
    <x v="1"/>
    <s v="Very Good"/>
    <x v="1"/>
    <x v="1"/>
    <x v="0"/>
    <s v="It is simple to use and easy to understand"/>
    <s v="Sometimes it takes time to load but it works perfectly"/>
    <s v="I think it's working perfectly both offline and online and I think it should stay"/>
    <m/>
  </r>
  <r>
    <d v="2026-06-08T00:00:00"/>
    <x v="1"/>
    <x v="1"/>
    <s v="KISUMU"/>
    <s v="ST MARK NYABERA COMPREHENSIVE SCHOOL"/>
    <n v="36"/>
    <x v="0"/>
    <x v="0"/>
    <x v="0"/>
    <s v="Good"/>
    <x v="0"/>
    <x v="0"/>
    <x v="0"/>
    <s v="It's well structured making it easy to let in the data"/>
    <s v="No challenges"/>
    <s v="Maybe save all schools baseline data from your end so that we avoid getting different figures from the admin especially after HOI transfers"/>
    <m/>
  </r>
  <r>
    <d v="2026-06-08T00:00:00"/>
    <x v="0"/>
    <x v="2"/>
    <s v="KABETE"/>
    <s v="ACK NDURARUA PRIMARY AND JUNIOR SCHOOL"/>
    <n v="38"/>
    <x v="0"/>
    <x v="1"/>
    <x v="0"/>
    <s v="Good"/>
    <x v="0"/>
    <x v="0"/>
    <x v="0"/>
    <s v="It was easy to me"/>
    <s v="Everything was good"/>
    <s v="So far so good"/>
    <m/>
  </r>
  <r>
    <d v="2026-06-08T00:00:00"/>
    <x v="0"/>
    <x v="2"/>
    <s v="KABETE"/>
    <s v="KAHUHO PRIMARY AND JUNIOR SCHOOL"/>
    <n v="32"/>
    <x v="0"/>
    <x v="0"/>
    <x v="1"/>
    <s v="Very Good"/>
    <x v="1"/>
    <x v="1"/>
    <x v="0"/>
    <s v="Got the population class by class"/>
    <s v="All went well"/>
    <s v="All types of cereals except western"/>
    <s v="So far so good"/>
  </r>
  <r>
    <d v="2026-06-08T00:00:00"/>
    <x v="0"/>
    <x v="3"/>
    <s v="RUIRUGITHUNGURI"/>
    <s v="KAMBUI PRIMARY AND JUNIOR SCHOOL"/>
    <n v="32"/>
    <x v="0"/>
    <x v="0"/>
    <x v="1"/>
    <s v="Very Good"/>
    <x v="1"/>
    <x v="1"/>
    <x v="0"/>
    <s v="Data collection was completed successfully KoboCollect was easy to use Admin and teachers support were effective"/>
    <s v="There was a slight delay in accessing baseline population data"/>
    <s v="Restrict duplicate submissions after successful form completion and provide a confirmation message or email Allow corrections through a controlled edit request process to improve data accuracy and prevent duplicate entries"/>
    <m/>
  </r>
  <r>
    <d v="2026-06-08T00:00:00"/>
    <x v="0"/>
    <x v="2"/>
    <s v="KABETE"/>
    <s v="GACII COMPREHENSIVE SCHOOL"/>
    <n v="26"/>
    <x v="0"/>
    <x v="0"/>
    <x v="0"/>
    <s v="Good"/>
    <x v="0"/>
    <x v="0"/>
    <x v="0"/>
    <s v="This is whereby the information needed is given without complications"/>
    <s v="We need to be given enough time when this kind of information is needed because we need the HOI for this and sometimesthey are not around"/>
    <s v="Maybe we can save such informations to avoid  going back to the administration  now and then for the same "/>
    <m/>
  </r>
  <r>
    <d v="2026-06-08T00:00:00"/>
    <x v="0"/>
    <x v="2"/>
    <s v="KABETE"/>
    <s v="KAMUIRU COMPREHENSIVE SCHOOL"/>
    <n v="28"/>
    <x v="0"/>
    <x v="0"/>
    <x v="0"/>
    <s v="Good"/>
    <x v="0"/>
    <x v="0"/>
    <x v="0"/>
    <s v="The interface was userfriendly making the data collection process smooth and efficient"/>
    <s v="I experienced delays in data synchronization which resulted in multiple repeated submissions"/>
    <s v="Improve data synchronization"/>
    <m/>
  </r>
  <r>
    <d v="2026-06-08T00:00:00"/>
    <x v="0"/>
    <x v="2"/>
    <s v="KABETE"/>
    <s v="NDONGORO COMPREHENSIVE SCHOOL"/>
    <n v="29"/>
    <x v="0"/>
    <x v="0"/>
    <x v="0"/>
    <s v="Good"/>
    <x v="0"/>
    <x v="0"/>
    <x v="0"/>
    <s v="I received the school population politely from the deputy The exercise was simple and not time consuming"/>
    <s v="Convincing the need for the information to the school"/>
    <s v="You can help by communicating directly to the head teachers about the data and why we need them through emails"/>
    <s v="The exercise was well do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DAC887-F825-4B10-ABFD-93A9C6FDB2C1}"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Q14:S19" firstHeaderRow="0" firstDataRow="1" firstDataCol="1"/>
  <pivotFields count="17">
    <pivotField numFmtId="164" showAll="0"/>
    <pivotField showAll="0">
      <items count="20">
        <item m="1" x="14"/>
        <item m="1" x="15"/>
        <item m="1" x="13"/>
        <item x="6"/>
        <item m="1" x="18"/>
        <item x="2"/>
        <item x="3"/>
        <item x="0"/>
        <item x="1"/>
        <item m="1" x="16"/>
        <item x="7"/>
        <item x="5"/>
        <item x="9"/>
        <item x="4"/>
        <item m="1" x="12"/>
        <item x="11"/>
        <item m="1" x="17"/>
        <item x="10"/>
        <item x="8"/>
        <item t="default"/>
      </items>
    </pivotField>
    <pivotField showAll="0"/>
    <pivotField showAll="0"/>
    <pivotField showAll="0"/>
    <pivotField showAll="0"/>
    <pivotField showAll="0"/>
    <pivotField showAll="0"/>
    <pivotField showAll="0"/>
    <pivotField showAll="0"/>
    <pivotField dataField="1" showAll="0"/>
    <pivotField axis="axisRow" dataField="1" showAll="0" sortType="descending">
      <items count="5">
        <item x="3"/>
        <item x="2"/>
        <item x="0"/>
        <item x="1"/>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s>
  <rowFields count="1">
    <field x="11"/>
  </rowFields>
  <rowItems count="5">
    <i>
      <x v="3"/>
    </i>
    <i>
      <x v="2"/>
    </i>
    <i>
      <x v="1"/>
    </i>
    <i>
      <x/>
    </i>
    <i t="grand">
      <x/>
    </i>
  </rowItems>
  <colFields count="1">
    <field x="-2"/>
  </colFields>
  <colItems count="2">
    <i>
      <x/>
    </i>
    <i i="1">
      <x v="1"/>
    </i>
  </colItems>
  <dataFields count="2">
    <dataField name="Sum of Total Score" fld="11" baseField="0" baseItem="0"/>
    <dataField name="Sum of Process score" fld="10"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17F0A8-B701-4CC4-BD43-D1E59AFEBA4F}"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Q3:V9" firstHeaderRow="1" firstDataRow="2" firstDataCol="1"/>
  <pivotFields count="17">
    <pivotField numFmtId="164" showAll="0"/>
    <pivotField showAll="0">
      <items count="20">
        <item m="1" x="14"/>
        <item m="1" x="15"/>
        <item m="1" x="13"/>
        <item x="6"/>
        <item m="1" x="18"/>
        <item x="2"/>
        <item x="3"/>
        <item x="0"/>
        <item x="1"/>
        <item m="1" x="16"/>
        <item x="7"/>
        <item x="5"/>
        <item x="9"/>
        <item x="4"/>
        <item m="1" x="12"/>
        <item x="11"/>
        <item m="1" x="17"/>
        <item x="10"/>
        <item x="8"/>
        <item t="default"/>
      </items>
    </pivotField>
    <pivotField showAll="0"/>
    <pivotField showAll="0"/>
    <pivotField dataField="1" showAll="0"/>
    <pivotField showAll="0"/>
    <pivotField axis="axisRow"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showAll="0"/>
    <pivotField axis="axisCol" showAll="0">
      <items count="5">
        <item x="0"/>
        <item x="2"/>
        <item x="1"/>
        <item x="3"/>
        <item t="default"/>
      </items>
    </pivotField>
    <pivotField showAll="0"/>
    <pivotField showAll="0">
      <items count="5">
        <item x="3"/>
        <item x="2"/>
        <item x="0"/>
        <item x="1"/>
        <item t="default"/>
      </items>
    </pivotField>
    <pivotField showAll="0"/>
    <pivotField showAll="0"/>
    <pivotField showAll="0"/>
    <pivotField showAll="0"/>
    <pivotField showAll="0"/>
    <pivotField showAll="0"/>
  </pivotFields>
  <rowFields count="1">
    <field x="6"/>
  </rowFields>
  <rowItems count="5">
    <i>
      <x v="3"/>
    </i>
    <i>
      <x v="1"/>
    </i>
    <i>
      <x v="2"/>
    </i>
    <i>
      <x/>
    </i>
    <i t="grand">
      <x/>
    </i>
  </rowItems>
  <colFields count="1">
    <field x="8"/>
  </colFields>
  <colItems count="5">
    <i>
      <x/>
    </i>
    <i>
      <x v="1"/>
    </i>
    <i>
      <x v="2"/>
    </i>
    <i>
      <x v="3"/>
    </i>
    <i t="grand">
      <x/>
    </i>
  </colItems>
  <dataFields count="1">
    <dataField name="Count of School " fld="4" subtotal="count" baseField="0" baseItem="0"/>
  </dataFields>
  <chartFormats count="5">
    <chartFormat chart="2" format="8" series="1">
      <pivotArea type="data" outline="0" fieldPosition="0">
        <references count="2">
          <reference field="4294967294" count="1" selected="0">
            <x v="0"/>
          </reference>
          <reference field="8" count="1" selected="0">
            <x v="0"/>
          </reference>
        </references>
      </pivotArea>
    </chartFormat>
    <chartFormat chart="2" format="9" series="1">
      <pivotArea type="data" outline="0" fieldPosition="0">
        <references count="2">
          <reference field="4294967294" count="1" selected="0">
            <x v="0"/>
          </reference>
          <reference field="8" count="1" selected="0">
            <x v="1"/>
          </reference>
        </references>
      </pivotArea>
    </chartFormat>
    <chartFormat chart="2" format="10" series="1">
      <pivotArea type="data" outline="0" fieldPosition="0">
        <references count="2">
          <reference field="4294967294" count="1" selected="0">
            <x v="0"/>
          </reference>
          <reference field="8" count="1" selected="0">
            <x v="2"/>
          </reference>
        </references>
      </pivotArea>
    </chartFormat>
    <chartFormat chart="2" format="11" series="1">
      <pivotArea type="data" outline="0" fieldPosition="0">
        <references count="2">
          <reference field="4294967294" count="1" selected="0">
            <x v="0"/>
          </reference>
          <reference field="8" count="1" selected="0">
            <x v="3"/>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06228D-FC54-4530-BF06-36684E7C2710}"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E3:J17" firstHeaderRow="1" firstDataRow="2" firstDataCol="1"/>
  <pivotFields count="17">
    <pivotField numFmtId="164" showAll="0"/>
    <pivotField axis="axisRow" showAll="0" sortType="ascending">
      <items count="20">
        <item x="4"/>
        <item x="0"/>
        <item x="9"/>
        <item x="8"/>
        <item x="6"/>
        <item x="3"/>
        <item x="5"/>
        <item x="1"/>
        <item x="10"/>
        <item x="2"/>
        <item x="7"/>
        <item x="11"/>
        <item m="1" x="18"/>
        <item m="1" x="16"/>
        <item m="1" x="17"/>
        <item m="1" x="12"/>
        <item m="1" x="15"/>
        <item m="1" x="14"/>
        <item m="1" x="1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axis="axisCol" showAll="0" nonAutoSortDefault="1">
      <items count="5">
        <item x="0"/>
        <item x="1"/>
        <item x="2"/>
        <item x="3"/>
        <item t="default"/>
      </items>
    </pivotField>
    <pivotField showAll="0"/>
    <pivotField showAll="0"/>
    <pivotField showAll="0"/>
    <pivotField showAll="0"/>
    <pivotField showAll="0"/>
    <pivotField showAll="0"/>
    <pivotField showAll="0"/>
    <pivotField showAll="0"/>
  </pivotFields>
  <rowFields count="1">
    <field x="1"/>
  </rowFields>
  <rowItems count="13">
    <i>
      <x v="11"/>
    </i>
    <i>
      <x v="10"/>
    </i>
    <i>
      <x v="9"/>
    </i>
    <i>
      <x v="8"/>
    </i>
    <i>
      <x v="7"/>
    </i>
    <i>
      <x v="6"/>
    </i>
    <i>
      <x v="5"/>
    </i>
    <i>
      <x v="4"/>
    </i>
    <i>
      <x v="3"/>
    </i>
    <i>
      <x v="2"/>
    </i>
    <i>
      <x v="1"/>
    </i>
    <i>
      <x/>
    </i>
    <i t="grand">
      <x/>
    </i>
  </rowItems>
  <colFields count="1">
    <field x="8"/>
  </colFields>
  <colItems count="5">
    <i>
      <x/>
    </i>
    <i>
      <x v="1"/>
    </i>
    <i>
      <x v="2"/>
    </i>
    <i>
      <x v="3"/>
    </i>
    <i t="grand">
      <x/>
    </i>
  </colItems>
  <dataFields count="1">
    <dataField name="Count of School " fld="4" subtotal="count" baseField="0" baseItem="0"/>
  </dataFields>
  <chartFormats count="13">
    <chartFormat chart="2" format="0" series="1">
      <pivotArea type="data" outline="0" fieldPosition="0">
        <references count="2">
          <reference field="4294967294" count="1" selected="0">
            <x v="0"/>
          </reference>
          <reference field="8" count="1" selected="0">
            <x v="0"/>
          </reference>
        </references>
      </pivotArea>
    </chartFormat>
    <chartFormat chart="2" format="1" series="1">
      <pivotArea type="data" outline="0" fieldPosition="0">
        <references count="2">
          <reference field="4294967294" count="1" selected="0">
            <x v="0"/>
          </reference>
          <reference field="8" count="1" selected="0">
            <x v="2"/>
          </reference>
        </references>
      </pivotArea>
    </chartFormat>
    <chartFormat chart="2" format="2" series="1">
      <pivotArea type="data" outline="0" fieldPosition="0">
        <references count="2">
          <reference field="4294967294" count="1" selected="0">
            <x v="0"/>
          </reference>
          <reference field="8" count="1" selected="0">
            <x v="1"/>
          </reference>
        </references>
      </pivotArea>
    </chartFormat>
    <chartFormat chart="2" format="3" series="1">
      <pivotArea type="data" outline="0" fieldPosition="0">
        <references count="2">
          <reference field="4294967294" count="1" selected="0">
            <x v="0"/>
          </reference>
          <reference field="8" count="1" selected="0">
            <x v="3"/>
          </reference>
        </references>
      </pivotArea>
    </chartFormat>
    <chartFormat chart="3" format="4" series="1">
      <pivotArea type="data" outline="0" fieldPosition="0">
        <references count="2">
          <reference field="4294967294" count="1" selected="0">
            <x v="0"/>
          </reference>
          <reference field="8" count="1" selected="0">
            <x v="0"/>
          </reference>
        </references>
      </pivotArea>
    </chartFormat>
    <chartFormat chart="3" format="5" series="1">
      <pivotArea type="data" outline="0" fieldPosition="0">
        <references count="2">
          <reference field="4294967294" count="1" selected="0">
            <x v="0"/>
          </reference>
          <reference field="8" count="1" selected="0">
            <x v="2"/>
          </reference>
        </references>
      </pivotArea>
    </chartFormat>
    <chartFormat chart="3" format="6" series="1">
      <pivotArea type="data" outline="0" fieldPosition="0">
        <references count="2">
          <reference field="4294967294" count="1" selected="0">
            <x v="0"/>
          </reference>
          <reference field="8" count="1" selected="0">
            <x v="1"/>
          </reference>
        </references>
      </pivotArea>
    </chartFormat>
    <chartFormat chart="3" format="7" series="1">
      <pivotArea type="data" outline="0" fieldPosition="0">
        <references count="2">
          <reference field="4294967294" count="1" selected="0">
            <x v="0"/>
          </reference>
          <reference field="8" count="1" selected="0">
            <x v="3"/>
          </reference>
        </references>
      </pivotArea>
    </chartFormat>
    <chartFormat chart="13" format="8" series="1">
      <pivotArea type="data" outline="0" fieldPosition="0">
        <references count="2">
          <reference field="4294967294" count="1" selected="0">
            <x v="0"/>
          </reference>
          <reference field="8" count="1" selected="0">
            <x v="0"/>
          </reference>
        </references>
      </pivotArea>
    </chartFormat>
    <chartFormat chart="13" format="9" series="1">
      <pivotArea type="data" outline="0" fieldPosition="0">
        <references count="2">
          <reference field="4294967294" count="1" selected="0">
            <x v="0"/>
          </reference>
          <reference field="8" count="1" selected="0">
            <x v="2"/>
          </reference>
        </references>
      </pivotArea>
    </chartFormat>
    <chartFormat chart="13" format="10" series="1">
      <pivotArea type="data" outline="0" fieldPosition="0">
        <references count="2">
          <reference field="4294967294" count="1" selected="0">
            <x v="0"/>
          </reference>
          <reference field="8" count="1" selected="0">
            <x v="1"/>
          </reference>
        </references>
      </pivotArea>
    </chartFormat>
    <chartFormat chart="13" format="11" series="1">
      <pivotArea type="data" outline="0" fieldPosition="0">
        <references count="2">
          <reference field="4294967294" count="1" selected="0">
            <x v="0"/>
          </reference>
          <reference field="8" count="1" selected="0">
            <x v="3"/>
          </reference>
        </references>
      </pivotArea>
    </chartFormat>
    <chartFormat chart="13"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97D599-3F76-4DB6-BF59-F6DB7FE0BF8F}"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L3:O18" firstHeaderRow="1" firstDataRow="2" firstDataCol="1"/>
  <pivotFields count="17">
    <pivotField numFmtId="164" showAll="0"/>
    <pivotField showAll="0">
      <items count="20">
        <item m="1" x="14"/>
        <item m="1" x="15"/>
        <item m="1" x="13"/>
        <item x="6"/>
        <item m="1" x="18"/>
        <item x="2"/>
        <item x="3"/>
        <item x="0"/>
        <item x="1"/>
        <item m="1" x="16"/>
        <item x="7"/>
        <item x="5"/>
        <item x="9"/>
        <item x="4"/>
        <item m="1" x="12"/>
        <item x="11"/>
        <item m="1" x="17"/>
        <item x="10"/>
        <item x="8"/>
        <item t="default"/>
      </items>
    </pivotField>
    <pivotField axis="axisRow" showAll="0" sortType="ascending">
      <items count="19">
        <item x="7"/>
        <item x="10"/>
        <item x="11"/>
        <item m="1" x="17"/>
        <item m="1" x="16"/>
        <item x="0"/>
        <item x="3"/>
        <item x="2"/>
        <item x="8"/>
        <item x="5"/>
        <item x="1"/>
        <item m="1" x="15"/>
        <item x="9"/>
        <item x="4"/>
        <item x="6"/>
        <item m="1" x="14"/>
        <item m="1" x="13"/>
        <item x="12"/>
        <item t="default"/>
      </items>
      <autoSortScope>
        <pivotArea dataOnly="0" outline="0" fieldPosition="0">
          <references count="2">
            <reference field="4294967294" count="1" selected="0">
              <x v="0"/>
            </reference>
            <reference field="7" count="1" selected="0">
              <x v="1"/>
            </reference>
          </references>
        </pivotArea>
      </autoSortScope>
    </pivotField>
    <pivotField showAll="0"/>
    <pivotField dataField="1"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s>
  <rowFields count="1">
    <field x="2"/>
  </rowFields>
  <rowItems count="14">
    <i>
      <x v="17"/>
    </i>
    <i>
      <x v="9"/>
    </i>
    <i>
      <x v="8"/>
    </i>
    <i>
      <x/>
    </i>
    <i>
      <x v="2"/>
    </i>
    <i>
      <x v="10"/>
    </i>
    <i>
      <x v="6"/>
    </i>
    <i>
      <x v="12"/>
    </i>
    <i>
      <x v="7"/>
    </i>
    <i>
      <x v="1"/>
    </i>
    <i>
      <x v="5"/>
    </i>
    <i>
      <x v="13"/>
    </i>
    <i>
      <x v="14"/>
    </i>
    <i t="grand">
      <x/>
    </i>
  </rowItems>
  <colFields count="1">
    <field x="7"/>
  </colFields>
  <colItems count="3">
    <i>
      <x/>
    </i>
    <i>
      <x v="1"/>
    </i>
    <i t="grand">
      <x/>
    </i>
  </colItems>
  <dataFields count="1">
    <dataField name="Count of School " fld="4" subtotal="count" baseField="0" baseItem="0"/>
  </dataFields>
  <chartFormats count="5">
    <chartFormat chart="2" format="2" series="1">
      <pivotArea type="data" outline="0" fieldPosition="0">
        <references count="2">
          <reference field="4294967294" count="1" selected="0">
            <x v="0"/>
          </reference>
          <reference field="7" count="1" selected="0">
            <x v="0"/>
          </reference>
        </references>
      </pivotArea>
    </chartFormat>
    <chartFormat chart="2" format="3" series="1">
      <pivotArea type="data" outline="0" fieldPosition="0">
        <references count="2">
          <reference field="4294967294" count="1" selected="0">
            <x v="0"/>
          </reference>
          <reference field="7" count="1" selected="0">
            <x v="1"/>
          </reference>
        </references>
      </pivotArea>
    </chartFormat>
    <chartFormat chart="8" format="4" series="1">
      <pivotArea type="data" outline="0" fieldPosition="0">
        <references count="2">
          <reference field="4294967294" count="1" selected="0">
            <x v="0"/>
          </reference>
          <reference field="7" count="1" selected="0">
            <x v="0"/>
          </reference>
        </references>
      </pivotArea>
    </chartFormat>
    <chartFormat chart="8" format="5" series="1">
      <pivotArea type="data" outline="0" fieldPosition="0">
        <references count="2">
          <reference field="4294967294" count="1" selected="0">
            <x v="0"/>
          </reference>
          <reference field="7" count="1" selected="0">
            <x v="1"/>
          </reference>
        </references>
      </pivotArea>
    </chartFormat>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158E05-C806-4C4B-8D6E-7790284063CD}"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0:O34" firstHeaderRow="1" firstDataRow="2" firstDataCol="1"/>
  <pivotFields count="17">
    <pivotField numFmtId="164" showAll="0"/>
    <pivotField axis="axisRow" showAll="0">
      <items count="20">
        <item m="1" x="14"/>
        <item m="1" x="15"/>
        <item m="1" x="13"/>
        <item x="6"/>
        <item m="1" x="18"/>
        <item x="2"/>
        <item x="3"/>
        <item x="0"/>
        <item x="1"/>
        <item m="1" x="16"/>
        <item x="7"/>
        <item x="5"/>
        <item x="9"/>
        <item x="4"/>
        <item m="1" x="12"/>
        <item x="11"/>
        <item m="1" x="17"/>
        <item x="10"/>
        <item x="8"/>
        <item t="default"/>
      </items>
    </pivotField>
    <pivotField showAll="0"/>
    <pivotField showAll="0"/>
    <pivotField dataField="1"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s>
  <rowFields count="1">
    <field x="1"/>
  </rowFields>
  <rowItems count="13">
    <i>
      <x v="3"/>
    </i>
    <i>
      <x v="5"/>
    </i>
    <i>
      <x v="6"/>
    </i>
    <i>
      <x v="7"/>
    </i>
    <i>
      <x v="8"/>
    </i>
    <i>
      <x v="10"/>
    </i>
    <i>
      <x v="11"/>
    </i>
    <i>
      <x v="12"/>
    </i>
    <i>
      <x v="13"/>
    </i>
    <i>
      <x v="15"/>
    </i>
    <i>
      <x v="17"/>
    </i>
    <i>
      <x v="18"/>
    </i>
    <i t="grand">
      <x/>
    </i>
  </rowItems>
  <colFields count="1">
    <field x="12"/>
  </colFields>
  <colItems count="3">
    <i>
      <x/>
    </i>
    <i>
      <x v="1"/>
    </i>
    <i t="grand">
      <x/>
    </i>
  </colItems>
  <dataFields count="1">
    <dataField name="Count of School "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6D3B37-EF13-47CC-85B2-1FCDDB6E2D86}"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20:F33" firstHeaderRow="1" firstDataRow="1" firstDataCol="1"/>
  <pivotFields count="17">
    <pivotField numFmtId="164" showAll="0"/>
    <pivotField axis="axisRow" showAll="0" sortType="ascending">
      <items count="20">
        <item m="1" x="14"/>
        <item m="1" x="15"/>
        <item m="1" x="13"/>
        <item x="6"/>
        <item m="1" x="18"/>
        <item x="2"/>
        <item x="3"/>
        <item x="0"/>
        <item x="1"/>
        <item m="1" x="16"/>
        <item x="7"/>
        <item x="5"/>
        <item x="9"/>
        <item x="4"/>
        <item m="1" x="12"/>
        <item x="11"/>
        <item m="1" x="17"/>
        <item x="10"/>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1"/>
  </rowFields>
  <rowItems count="13">
    <i>
      <x v="17"/>
    </i>
    <i>
      <x v="12"/>
    </i>
    <i>
      <x v="10"/>
    </i>
    <i>
      <x v="18"/>
    </i>
    <i>
      <x v="5"/>
    </i>
    <i>
      <x v="15"/>
    </i>
    <i>
      <x v="13"/>
    </i>
    <i>
      <x v="7"/>
    </i>
    <i>
      <x v="3"/>
    </i>
    <i>
      <x v="6"/>
    </i>
    <i>
      <x v="11"/>
    </i>
    <i>
      <x v="8"/>
    </i>
    <i t="grand">
      <x/>
    </i>
  </rowItems>
  <colItems count="1">
    <i/>
  </colItems>
  <dataFields count="1">
    <dataField name="Average of Process score" fld="10" subtotal="average" baseField="1" baseItem="3" numFmtId="2"/>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y" xr10:uid="{09F2F964-EAF1-4F21-A680-3A3D257E4114}" sourceName="County">
  <pivotTables>
    <pivotTable tabId="4" name="PivotTable4"/>
    <pivotTable tabId="4" name="PivotTable3"/>
    <pivotTable tabId="4" name="PivotTable5"/>
    <pivotTable tabId="4" name="PivotTable6"/>
    <pivotTable tabId="4" name="PivotTable1"/>
    <pivotTable tabId="4" name="PivotTable2"/>
  </pivotTables>
  <data>
    <tabular pivotCacheId="520810320" showMissing="0">
      <items count="19">
        <i x="6" s="1"/>
        <i x="2" s="1"/>
        <i x="3" s="1"/>
        <i x="0" s="1"/>
        <i x="1" s="1"/>
        <i x="7" s="1"/>
        <i x="5" s="1"/>
        <i x="9" s="1"/>
        <i x="4" s="1"/>
        <i x="11" s="1"/>
        <i x="10" s="1"/>
        <i x="8" s="1"/>
        <i x="14" s="1" nd="1"/>
        <i x="15" s="1" nd="1"/>
        <i x="13" s="1" nd="1"/>
        <i x="18" s="1" nd="1"/>
        <i x="16" s="1" nd="1"/>
        <i x="12" s="1" nd="1"/>
        <i x="17"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y 1" xr10:uid="{BEE84848-CE25-4EA5-A360-C21195EE5A23}" cache="Slicer_County" caption="Count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y" xr10:uid="{1275C55A-A54C-40EA-A2D2-22A2C24F5E7E}" cache="Slicer_County" caption="County" columnCount="12"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topLeftCell="A241" workbookViewId="0">
      <selection activeCell="B262" sqref="B262"/>
    </sheetView>
  </sheetViews>
  <sheetFormatPr defaultColWidth="14.42578125" defaultRowHeight="15" customHeight="1"/>
  <cols>
    <col min="1" max="1" width="15.28515625" customWidth="1"/>
    <col min="2" max="4" width="16.5703125" customWidth="1"/>
    <col min="5" max="6" width="127.85546875" customWidth="1"/>
    <col min="7" max="16" width="16.5703125" customWidth="1"/>
    <col min="17" max="27" width="8.7109375" customWidth="1"/>
  </cols>
  <sheetData>
    <row r="1" spans="1:27" ht="14.25" customHeight="1">
      <c r="A1" s="1" t="s">
        <v>0</v>
      </c>
      <c r="B1" s="1" t="s">
        <v>1</v>
      </c>
      <c r="C1" s="1" t="s">
        <v>2</v>
      </c>
      <c r="D1" s="1" t="s">
        <v>3</v>
      </c>
      <c r="E1" s="1" t="s">
        <v>4</v>
      </c>
      <c r="F1" s="1"/>
      <c r="G1" s="1" t="s">
        <v>5</v>
      </c>
      <c r="H1" s="1" t="s">
        <v>6</v>
      </c>
      <c r="I1" s="1" t="s">
        <v>7</v>
      </c>
      <c r="J1" s="1" t="s">
        <v>8</v>
      </c>
      <c r="K1" s="1" t="s">
        <v>9</v>
      </c>
      <c r="L1" s="1" t="s">
        <v>10</v>
      </c>
      <c r="M1" s="1" t="s">
        <v>11</v>
      </c>
      <c r="N1" s="1" t="s">
        <v>12</v>
      </c>
      <c r="O1" s="1" t="s">
        <v>13</v>
      </c>
      <c r="P1" s="1" t="s">
        <v>14</v>
      </c>
      <c r="Q1" s="1"/>
      <c r="R1" s="1"/>
      <c r="S1" s="1"/>
      <c r="T1" s="1"/>
      <c r="U1" s="1"/>
      <c r="V1" s="1"/>
      <c r="W1" s="1"/>
      <c r="X1" s="1"/>
      <c r="Y1" s="1"/>
      <c r="Z1" s="1"/>
      <c r="AA1" s="1"/>
    </row>
    <row r="2" spans="1:27" ht="14.25" customHeight="1">
      <c r="A2" s="2">
        <v>46178</v>
      </c>
      <c r="B2" s="3" t="s">
        <v>15</v>
      </c>
      <c r="C2" s="3" t="s">
        <v>16</v>
      </c>
      <c r="D2" s="3" t="s">
        <v>17</v>
      </c>
      <c r="E2" s="3" t="s">
        <v>18</v>
      </c>
      <c r="F2" s="3"/>
      <c r="G2" s="3" t="s">
        <v>19</v>
      </c>
      <c r="H2" s="3"/>
      <c r="I2" s="3" t="s">
        <v>20</v>
      </c>
      <c r="J2" s="3"/>
      <c r="K2" s="3" t="s">
        <v>21</v>
      </c>
      <c r="L2" s="3" t="s">
        <v>21</v>
      </c>
      <c r="M2" s="3" t="s">
        <v>22</v>
      </c>
      <c r="N2" s="3" t="s">
        <v>23</v>
      </c>
      <c r="O2" s="3" t="s">
        <v>24</v>
      </c>
      <c r="P2" s="3"/>
      <c r="Q2" s="3"/>
      <c r="R2" s="3"/>
      <c r="S2" s="3"/>
      <c r="T2" s="3"/>
      <c r="U2" s="3"/>
      <c r="V2" s="3"/>
      <c r="W2" s="3">
        <f>COUNTBLANK('clean data'!O2:O590)</f>
        <v>86</v>
      </c>
      <c r="X2" s="3"/>
      <c r="Y2" s="3"/>
      <c r="Z2" s="3"/>
      <c r="AA2" s="3"/>
    </row>
    <row r="3" spans="1:27" ht="14.25" customHeight="1">
      <c r="A3" s="2">
        <v>46178</v>
      </c>
      <c r="B3" s="3" t="s">
        <v>25</v>
      </c>
      <c r="C3" s="3" t="s">
        <v>26</v>
      </c>
      <c r="D3" s="3" t="s">
        <v>25</v>
      </c>
      <c r="E3" s="3" t="s">
        <v>27</v>
      </c>
      <c r="F3" s="3"/>
      <c r="G3" s="3" t="s">
        <v>19</v>
      </c>
      <c r="H3" s="3"/>
      <c r="I3" s="3" t="s">
        <v>20</v>
      </c>
      <c r="J3" s="3"/>
      <c r="K3" s="3" t="s">
        <v>28</v>
      </c>
      <c r="L3" s="3" t="s">
        <v>28</v>
      </c>
      <c r="M3" s="3" t="s">
        <v>29</v>
      </c>
      <c r="N3" s="3" t="s">
        <v>30</v>
      </c>
      <c r="O3" s="3" t="s">
        <v>31</v>
      </c>
      <c r="P3" s="3" t="s">
        <v>32</v>
      </c>
      <c r="Q3" s="3"/>
      <c r="R3" s="3"/>
      <c r="S3" s="3"/>
      <c r="T3" s="3"/>
      <c r="U3" s="3"/>
      <c r="V3" s="3"/>
      <c r="W3" s="3"/>
      <c r="X3" s="3"/>
      <c r="Y3" s="3"/>
      <c r="Z3" s="3"/>
      <c r="AA3" s="3"/>
    </row>
    <row r="4" spans="1:27" ht="14.25" customHeight="1">
      <c r="A4" s="2">
        <v>46178</v>
      </c>
      <c r="B4" s="3" t="s">
        <v>15</v>
      </c>
      <c r="C4" s="3" t="s">
        <v>33</v>
      </c>
      <c r="D4" s="3" t="s">
        <v>34</v>
      </c>
      <c r="E4" s="3" t="s">
        <v>35</v>
      </c>
      <c r="F4" s="3"/>
      <c r="G4" s="3" t="s">
        <v>19</v>
      </c>
      <c r="H4" s="3"/>
      <c r="I4" s="3" t="s">
        <v>20</v>
      </c>
      <c r="J4" s="3"/>
      <c r="K4" s="3" t="s">
        <v>21</v>
      </c>
      <c r="L4" s="3" t="s">
        <v>21</v>
      </c>
      <c r="M4" s="3" t="s">
        <v>36</v>
      </c>
      <c r="N4" s="3" t="s">
        <v>37</v>
      </c>
      <c r="O4" s="3" t="s">
        <v>38</v>
      </c>
      <c r="P4" s="3"/>
      <c r="Q4" s="3"/>
      <c r="R4" s="3"/>
      <c r="S4" s="3"/>
      <c r="T4" s="3"/>
      <c r="U4" s="3"/>
      <c r="V4" s="3"/>
      <c r="W4" s="3"/>
      <c r="X4" s="3"/>
      <c r="Y4" s="3"/>
      <c r="Z4" s="3"/>
      <c r="AA4" s="3"/>
    </row>
    <row r="5" spans="1:27" ht="14.25" customHeight="1">
      <c r="A5" s="2">
        <v>46178</v>
      </c>
      <c r="B5" s="3" t="s">
        <v>15</v>
      </c>
      <c r="C5" s="3" t="s">
        <v>39</v>
      </c>
      <c r="D5" s="3" t="s">
        <v>15</v>
      </c>
      <c r="E5" s="3" t="s">
        <v>40</v>
      </c>
      <c r="F5" s="3"/>
      <c r="G5" s="3" t="s">
        <v>19</v>
      </c>
      <c r="H5" s="3"/>
      <c r="I5" s="3" t="s">
        <v>20</v>
      </c>
      <c r="J5" s="3"/>
      <c r="K5" s="3" t="s">
        <v>21</v>
      </c>
      <c r="L5" s="3" t="s">
        <v>21</v>
      </c>
      <c r="M5" s="3" t="s">
        <v>41</v>
      </c>
      <c r="N5" s="3" t="s">
        <v>42</v>
      </c>
      <c r="O5" s="3" t="s">
        <v>43</v>
      </c>
      <c r="P5" s="3"/>
      <c r="Q5" s="3"/>
      <c r="R5" s="3"/>
      <c r="S5" s="3"/>
      <c r="T5" s="3"/>
      <c r="U5" s="3"/>
      <c r="V5" s="3"/>
      <c r="W5" s="3"/>
      <c r="X5" s="3"/>
      <c r="Y5" s="3"/>
      <c r="Z5" s="3"/>
      <c r="AA5" s="3"/>
    </row>
    <row r="6" spans="1:27" ht="14.25" customHeight="1">
      <c r="A6" s="2">
        <v>46178</v>
      </c>
      <c r="B6" s="3" t="s">
        <v>15</v>
      </c>
      <c r="C6" s="3" t="s">
        <v>33</v>
      </c>
      <c r="D6" s="3" t="s">
        <v>34</v>
      </c>
      <c r="E6" s="3" t="s">
        <v>44</v>
      </c>
      <c r="F6" s="3"/>
      <c r="G6" s="3" t="s">
        <v>19</v>
      </c>
      <c r="H6" s="3"/>
      <c r="I6" s="3" t="s">
        <v>45</v>
      </c>
      <c r="J6" s="3"/>
      <c r="K6" s="3" t="s">
        <v>21</v>
      </c>
      <c r="L6" s="3" t="s">
        <v>21</v>
      </c>
      <c r="M6" s="3" t="s">
        <v>46</v>
      </c>
      <c r="N6" s="3" t="s">
        <v>47</v>
      </c>
      <c r="O6" s="3" t="s">
        <v>48</v>
      </c>
      <c r="P6" s="3"/>
      <c r="Q6" s="3"/>
      <c r="R6" s="3"/>
      <c r="S6" s="3"/>
      <c r="T6" s="3"/>
      <c r="U6" s="3"/>
      <c r="V6" s="3"/>
      <c r="W6" s="3"/>
      <c r="X6" s="3"/>
      <c r="Y6" s="3"/>
      <c r="Z6" s="3"/>
      <c r="AA6" s="3"/>
    </row>
    <row r="7" spans="1:27" ht="14.25" customHeight="1">
      <c r="A7" s="2">
        <v>46178</v>
      </c>
      <c r="B7" s="3" t="s">
        <v>49</v>
      </c>
      <c r="C7" s="3" t="s">
        <v>50</v>
      </c>
      <c r="D7" s="3" t="s">
        <v>51</v>
      </c>
      <c r="E7" s="3" t="s">
        <v>52</v>
      </c>
      <c r="F7" s="3"/>
      <c r="G7" s="3" t="s">
        <v>19</v>
      </c>
      <c r="H7" s="3"/>
      <c r="I7" s="3" t="s">
        <v>20</v>
      </c>
      <c r="J7" s="3"/>
      <c r="K7" s="3" t="s">
        <v>28</v>
      </c>
      <c r="L7" s="3" t="s">
        <v>28</v>
      </c>
      <c r="M7" s="3" t="s">
        <v>53</v>
      </c>
      <c r="N7" s="3" t="s">
        <v>54</v>
      </c>
      <c r="O7" s="3" t="s">
        <v>55</v>
      </c>
      <c r="P7" s="3" t="s">
        <v>56</v>
      </c>
      <c r="Q7" s="3"/>
      <c r="R7" s="3"/>
      <c r="S7" s="3"/>
      <c r="T7" s="3"/>
      <c r="U7" s="3"/>
      <c r="V7" s="3"/>
      <c r="W7" s="3"/>
      <c r="X7" s="3"/>
      <c r="Y7" s="3"/>
      <c r="Z7" s="3"/>
      <c r="AA7" s="3"/>
    </row>
    <row r="8" spans="1:27" ht="14.25" customHeight="1">
      <c r="A8" s="2">
        <v>46178</v>
      </c>
      <c r="B8" s="3" t="s">
        <v>15</v>
      </c>
      <c r="C8" s="3" t="s">
        <v>39</v>
      </c>
      <c r="D8" s="3" t="s">
        <v>57</v>
      </c>
      <c r="E8" s="3" t="s">
        <v>58</v>
      </c>
      <c r="F8" s="3"/>
      <c r="G8" s="3" t="s">
        <v>19</v>
      </c>
      <c r="H8" s="3"/>
      <c r="I8" s="3" t="s">
        <v>45</v>
      </c>
      <c r="J8" s="3"/>
      <c r="K8" s="3" t="s">
        <v>28</v>
      </c>
      <c r="L8" s="3" t="s">
        <v>28</v>
      </c>
      <c r="M8" s="3" t="s">
        <v>59</v>
      </c>
      <c r="N8" s="3" t="s">
        <v>60</v>
      </c>
      <c r="O8" s="3" t="s">
        <v>61</v>
      </c>
      <c r="P8" s="3"/>
      <c r="Q8" s="3"/>
      <c r="R8" s="3"/>
      <c r="S8" s="3"/>
      <c r="T8" s="3"/>
      <c r="U8" s="3"/>
      <c r="V8" s="3"/>
      <c r="W8" s="3"/>
      <c r="X8" s="3"/>
      <c r="Y8" s="3"/>
      <c r="Z8" s="3"/>
      <c r="AA8" s="3"/>
    </row>
    <row r="9" spans="1:27" ht="14.25" customHeight="1">
      <c r="A9" s="2">
        <v>46178</v>
      </c>
      <c r="B9" s="3" t="s">
        <v>15</v>
      </c>
      <c r="C9" s="3" t="s">
        <v>33</v>
      </c>
      <c r="D9" s="3" t="s">
        <v>62</v>
      </c>
      <c r="E9" s="3" t="s">
        <v>63</v>
      </c>
      <c r="F9" s="3"/>
      <c r="G9" s="3" t="s">
        <v>19</v>
      </c>
      <c r="H9" s="3"/>
      <c r="I9" s="3" t="s">
        <v>45</v>
      </c>
      <c r="J9" s="3"/>
      <c r="K9" s="3" t="s">
        <v>28</v>
      </c>
      <c r="L9" s="3" t="s">
        <v>28</v>
      </c>
      <c r="M9" s="3" t="s">
        <v>64</v>
      </c>
      <c r="N9" s="3" t="s">
        <v>65</v>
      </c>
      <c r="O9" s="3" t="s">
        <v>66</v>
      </c>
      <c r="P9" s="3" t="s">
        <v>48</v>
      </c>
      <c r="Q9" s="3"/>
      <c r="R9" s="3"/>
      <c r="S9" s="3"/>
      <c r="T9" s="3"/>
      <c r="U9" s="3"/>
      <c r="V9" s="3"/>
      <c r="W9" s="3"/>
      <c r="X9" s="3"/>
      <c r="Y9" s="3"/>
      <c r="Z9" s="3"/>
      <c r="AA9" s="3"/>
    </row>
    <row r="10" spans="1:27" ht="14.25" customHeight="1">
      <c r="A10" s="2">
        <v>46178</v>
      </c>
      <c r="B10" s="3" t="s">
        <v>15</v>
      </c>
      <c r="C10" s="3" t="s">
        <v>39</v>
      </c>
      <c r="D10" s="3" t="s">
        <v>67</v>
      </c>
      <c r="E10" s="3" t="s">
        <v>68</v>
      </c>
      <c r="F10" s="3"/>
      <c r="G10" s="3" t="s">
        <v>19</v>
      </c>
      <c r="H10" s="3"/>
      <c r="I10" s="3" t="s">
        <v>20</v>
      </c>
      <c r="J10" s="3"/>
      <c r="K10" s="3" t="s">
        <v>21</v>
      </c>
      <c r="L10" s="3" t="s">
        <v>21</v>
      </c>
      <c r="M10" s="3" t="s">
        <v>69</v>
      </c>
      <c r="N10" s="3" t="s">
        <v>70</v>
      </c>
      <c r="O10" s="3" t="s">
        <v>71</v>
      </c>
      <c r="P10" s="3"/>
      <c r="Q10" s="3"/>
      <c r="R10" s="3"/>
      <c r="S10" s="3"/>
      <c r="T10" s="3"/>
      <c r="U10" s="3"/>
      <c r="V10" s="3"/>
      <c r="W10" s="3"/>
      <c r="X10" s="3"/>
      <c r="Y10" s="3"/>
      <c r="Z10" s="3"/>
      <c r="AA10" s="3"/>
    </row>
    <row r="11" spans="1:27" ht="14.25" customHeight="1">
      <c r="A11" s="2">
        <v>46178</v>
      </c>
      <c r="B11" s="3" t="s">
        <v>72</v>
      </c>
      <c r="C11" s="3" t="s">
        <v>73</v>
      </c>
      <c r="D11" s="3" t="s">
        <v>72</v>
      </c>
      <c r="E11" s="3" t="s">
        <v>74</v>
      </c>
      <c r="F11" s="3"/>
      <c r="G11" s="3" t="s">
        <v>19</v>
      </c>
      <c r="H11" s="3"/>
      <c r="I11" s="3" t="s">
        <v>45</v>
      </c>
      <c r="J11" s="3"/>
      <c r="K11" s="3" t="s">
        <v>21</v>
      </c>
      <c r="L11" s="3" t="s">
        <v>21</v>
      </c>
      <c r="M11" s="3" t="s">
        <v>75</v>
      </c>
      <c r="N11" s="3" t="s">
        <v>76</v>
      </c>
      <c r="O11" s="3" t="s">
        <v>77</v>
      </c>
      <c r="P11" s="3" t="s">
        <v>48</v>
      </c>
      <c r="Q11" s="3"/>
      <c r="R11" s="3"/>
      <c r="S11" s="3"/>
      <c r="T11" s="3"/>
      <c r="U11" s="3"/>
      <c r="V11" s="3"/>
      <c r="W11" s="3"/>
      <c r="X11" s="3"/>
      <c r="Y11" s="3"/>
      <c r="Z11" s="3"/>
      <c r="AA11" s="3"/>
    </row>
    <row r="12" spans="1:27" ht="14.25" customHeight="1">
      <c r="A12" s="2">
        <v>46178</v>
      </c>
      <c r="B12" s="3" t="s">
        <v>15</v>
      </c>
      <c r="C12" s="3" t="s">
        <v>16</v>
      </c>
      <c r="D12" s="3" t="s">
        <v>17</v>
      </c>
      <c r="E12" s="3" t="s">
        <v>78</v>
      </c>
      <c r="F12" s="3"/>
      <c r="G12" s="3" t="s">
        <v>19</v>
      </c>
      <c r="H12" s="3"/>
      <c r="I12" s="3" t="s">
        <v>20</v>
      </c>
      <c r="J12" s="3"/>
      <c r="K12" s="3" t="s">
        <v>21</v>
      </c>
      <c r="L12" s="3" t="s">
        <v>21</v>
      </c>
      <c r="M12" s="3" t="s">
        <v>79</v>
      </c>
      <c r="N12" s="3" t="s">
        <v>80</v>
      </c>
      <c r="O12" s="3" t="s">
        <v>48</v>
      </c>
      <c r="P12" s="3" t="s">
        <v>48</v>
      </c>
      <c r="Q12" s="3"/>
      <c r="R12" s="3"/>
      <c r="S12" s="3"/>
      <c r="T12" s="3"/>
      <c r="U12" s="3"/>
      <c r="V12" s="3"/>
      <c r="W12" s="3"/>
      <c r="X12" s="3"/>
      <c r="Y12" s="3"/>
      <c r="Z12" s="3"/>
      <c r="AA12" s="3"/>
    </row>
    <row r="13" spans="1:27" ht="14.25" customHeight="1">
      <c r="A13" s="2">
        <v>46178</v>
      </c>
      <c r="B13" s="3" t="s">
        <v>81</v>
      </c>
      <c r="C13" s="3" t="s">
        <v>82</v>
      </c>
      <c r="D13" s="3" t="s">
        <v>83</v>
      </c>
      <c r="E13" s="3" t="s">
        <v>84</v>
      </c>
      <c r="F13" s="3"/>
      <c r="G13" s="3" t="s">
        <v>19</v>
      </c>
      <c r="H13" s="3"/>
      <c r="I13" s="3" t="s">
        <v>45</v>
      </c>
      <c r="J13" s="3"/>
      <c r="K13" s="3" t="s">
        <v>21</v>
      </c>
      <c r="L13" s="3" t="s">
        <v>21</v>
      </c>
      <c r="M13" s="3" t="s">
        <v>85</v>
      </c>
      <c r="N13" s="3" t="s">
        <v>86</v>
      </c>
      <c r="O13" s="3" t="s">
        <v>87</v>
      </c>
      <c r="P13" s="3" t="s">
        <v>30</v>
      </c>
      <c r="Q13" s="3"/>
      <c r="R13" s="3"/>
      <c r="S13" s="3"/>
      <c r="T13" s="3"/>
      <c r="U13" s="3"/>
      <c r="V13" s="3"/>
      <c r="W13" s="3"/>
      <c r="X13" s="3"/>
      <c r="Y13" s="3"/>
      <c r="Z13" s="3"/>
      <c r="AA13" s="3"/>
    </row>
    <row r="14" spans="1:27" ht="14.25" customHeight="1">
      <c r="A14" s="2">
        <v>46178</v>
      </c>
      <c r="B14" s="3" t="s">
        <v>49</v>
      </c>
      <c r="C14" s="3" t="s">
        <v>50</v>
      </c>
      <c r="D14" s="3" t="s">
        <v>51</v>
      </c>
      <c r="E14" s="3" t="s">
        <v>88</v>
      </c>
      <c r="F14" s="3"/>
      <c r="G14" s="3" t="s">
        <v>19</v>
      </c>
      <c r="H14" s="3"/>
      <c r="I14" s="3" t="s">
        <v>20</v>
      </c>
      <c r="J14" s="3"/>
      <c r="K14" s="3" t="s">
        <v>21</v>
      </c>
      <c r="L14" s="3" t="s">
        <v>28</v>
      </c>
      <c r="M14" s="3" t="s">
        <v>89</v>
      </c>
      <c r="N14" s="3" t="s">
        <v>90</v>
      </c>
      <c r="O14" s="3" t="s">
        <v>91</v>
      </c>
      <c r="P14" s="3" t="s">
        <v>92</v>
      </c>
      <c r="Q14" s="3"/>
      <c r="R14" s="3"/>
      <c r="S14" s="3"/>
      <c r="T14" s="3"/>
      <c r="U14" s="3"/>
      <c r="V14" s="3"/>
      <c r="W14" s="3"/>
      <c r="X14" s="3"/>
      <c r="Y14" s="3"/>
      <c r="Z14" s="3"/>
      <c r="AA14" s="3"/>
    </row>
    <row r="15" spans="1:27" ht="14.25" customHeight="1">
      <c r="A15" s="2">
        <v>46178</v>
      </c>
      <c r="B15" s="3" t="s">
        <v>81</v>
      </c>
      <c r="C15" s="3" t="s">
        <v>82</v>
      </c>
      <c r="D15" s="3" t="s">
        <v>83</v>
      </c>
      <c r="E15" s="3" t="s">
        <v>93</v>
      </c>
      <c r="F15" s="3"/>
      <c r="G15" s="3" t="s">
        <v>19</v>
      </c>
      <c r="H15" s="3"/>
      <c r="I15" s="3" t="s">
        <v>20</v>
      </c>
      <c r="J15" s="3"/>
      <c r="K15" s="3" t="s">
        <v>21</v>
      </c>
      <c r="L15" s="3" t="s">
        <v>21</v>
      </c>
      <c r="M15" s="3" t="s">
        <v>94</v>
      </c>
      <c r="N15" s="3" t="s">
        <v>48</v>
      </c>
      <c r="O15" s="3" t="s">
        <v>48</v>
      </c>
      <c r="P15" s="3" t="s">
        <v>30</v>
      </c>
      <c r="Q15" s="3"/>
      <c r="R15" s="3"/>
      <c r="S15" s="3"/>
      <c r="T15" s="3"/>
      <c r="U15" s="3"/>
      <c r="V15" s="3"/>
      <c r="W15" s="3"/>
      <c r="X15" s="3"/>
      <c r="Y15" s="3"/>
      <c r="Z15" s="3"/>
      <c r="AA15" s="3"/>
    </row>
    <row r="16" spans="1:27" ht="14.25" customHeight="1">
      <c r="A16" s="2">
        <v>46178</v>
      </c>
      <c r="B16" s="3" t="s">
        <v>81</v>
      </c>
      <c r="C16" s="3" t="s">
        <v>82</v>
      </c>
      <c r="D16" s="3" t="s">
        <v>95</v>
      </c>
      <c r="E16" s="3" t="s">
        <v>96</v>
      </c>
      <c r="F16" s="3"/>
      <c r="G16" s="3" t="s">
        <v>19</v>
      </c>
      <c r="H16" s="3"/>
      <c r="I16" s="3" t="s">
        <v>20</v>
      </c>
      <c r="J16" s="3"/>
      <c r="K16" s="3" t="s">
        <v>21</v>
      </c>
      <c r="L16" s="3" t="s">
        <v>21</v>
      </c>
      <c r="M16" s="3" t="s">
        <v>97</v>
      </c>
      <c r="N16" s="3" t="s">
        <v>98</v>
      </c>
      <c r="O16" s="3" t="s">
        <v>99</v>
      </c>
      <c r="P16" s="3" t="s">
        <v>100</v>
      </c>
      <c r="Q16" s="3"/>
      <c r="R16" s="3"/>
      <c r="S16" s="3"/>
      <c r="T16" s="3"/>
      <c r="U16" s="3"/>
      <c r="V16" s="3"/>
      <c r="W16" s="3"/>
      <c r="X16" s="3"/>
      <c r="Y16" s="3"/>
      <c r="Z16" s="3"/>
      <c r="AA16" s="3"/>
    </row>
    <row r="17" spans="1:27" ht="14.25" customHeight="1">
      <c r="A17" s="2">
        <v>46178</v>
      </c>
      <c r="B17" s="3" t="s">
        <v>15</v>
      </c>
      <c r="C17" s="3" t="s">
        <v>39</v>
      </c>
      <c r="D17" s="3" t="s">
        <v>57</v>
      </c>
      <c r="E17" s="3" t="s">
        <v>101</v>
      </c>
      <c r="F17" s="3"/>
      <c r="G17" s="3" t="s">
        <v>19</v>
      </c>
      <c r="H17" s="3"/>
      <c r="I17" s="3" t="s">
        <v>45</v>
      </c>
      <c r="J17" s="3"/>
      <c r="K17" s="3" t="s">
        <v>21</v>
      </c>
      <c r="L17" s="3" t="s">
        <v>28</v>
      </c>
      <c r="M17" s="3" t="s">
        <v>102</v>
      </c>
      <c r="N17" s="3" t="s">
        <v>103</v>
      </c>
      <c r="O17" s="3" t="s">
        <v>104</v>
      </c>
      <c r="P17" s="3"/>
      <c r="Q17" s="3"/>
      <c r="R17" s="3"/>
      <c r="S17" s="3"/>
      <c r="T17" s="3"/>
      <c r="U17" s="3"/>
      <c r="V17" s="3"/>
      <c r="W17" s="3"/>
      <c r="X17" s="3"/>
      <c r="Y17" s="3"/>
      <c r="Z17" s="3"/>
      <c r="AA17" s="3"/>
    </row>
    <row r="18" spans="1:27" ht="14.25" customHeight="1">
      <c r="A18" s="2">
        <v>46178</v>
      </c>
      <c r="B18" s="3" t="s">
        <v>15</v>
      </c>
      <c r="C18" s="3" t="s">
        <v>16</v>
      </c>
      <c r="D18" s="3" t="s">
        <v>105</v>
      </c>
      <c r="E18" s="3" t="s">
        <v>106</v>
      </c>
      <c r="F18" s="3"/>
      <c r="G18" s="3" t="s">
        <v>107</v>
      </c>
      <c r="H18" s="3"/>
      <c r="I18" s="3" t="s">
        <v>20</v>
      </c>
      <c r="J18" s="3"/>
      <c r="K18" s="3" t="s">
        <v>21</v>
      </c>
      <c r="L18" s="3" t="s">
        <v>21</v>
      </c>
      <c r="M18" s="3" t="s">
        <v>108</v>
      </c>
      <c r="N18" s="3" t="s">
        <v>109</v>
      </c>
      <c r="O18" s="3" t="s">
        <v>110</v>
      </c>
      <c r="P18" s="3" t="s">
        <v>30</v>
      </c>
      <c r="Q18" s="3"/>
      <c r="R18" s="3"/>
      <c r="S18" s="3"/>
      <c r="T18" s="3"/>
      <c r="U18" s="3"/>
      <c r="V18" s="3"/>
      <c r="W18" s="3"/>
      <c r="X18" s="3"/>
      <c r="Y18" s="3"/>
      <c r="Z18" s="3"/>
      <c r="AA18" s="3"/>
    </row>
    <row r="19" spans="1:27" ht="14.25" customHeight="1">
      <c r="A19" s="2">
        <v>46178</v>
      </c>
      <c r="B19" s="3" t="s">
        <v>111</v>
      </c>
      <c r="C19" s="3" t="s">
        <v>112</v>
      </c>
      <c r="D19" s="3" t="s">
        <v>113</v>
      </c>
      <c r="E19" s="3" t="s">
        <v>114</v>
      </c>
      <c r="F19" s="3"/>
      <c r="G19" s="3" t="s">
        <v>19</v>
      </c>
      <c r="H19" s="3"/>
      <c r="I19" s="3" t="s">
        <v>45</v>
      </c>
      <c r="J19" s="3"/>
      <c r="K19" s="3" t="s">
        <v>21</v>
      </c>
      <c r="L19" s="3" t="s">
        <v>28</v>
      </c>
      <c r="M19" s="3" t="s">
        <v>115</v>
      </c>
      <c r="N19" s="3" t="s">
        <v>116</v>
      </c>
      <c r="O19" s="3" t="s">
        <v>117</v>
      </c>
      <c r="P19" s="3" t="s">
        <v>118</v>
      </c>
      <c r="Q19" s="3"/>
      <c r="R19" s="3"/>
      <c r="S19" s="3"/>
      <c r="T19" s="3"/>
      <c r="U19" s="3"/>
      <c r="V19" s="3"/>
      <c r="W19" s="3"/>
      <c r="X19" s="3"/>
      <c r="Y19" s="3"/>
      <c r="Z19" s="3"/>
      <c r="AA19" s="3"/>
    </row>
    <row r="20" spans="1:27" ht="14.25" customHeight="1">
      <c r="A20" s="2">
        <v>46178</v>
      </c>
      <c r="B20" s="3" t="s">
        <v>15</v>
      </c>
      <c r="C20" s="3" t="s">
        <v>33</v>
      </c>
      <c r="D20" s="3" t="s">
        <v>34</v>
      </c>
      <c r="E20" s="3" t="s">
        <v>119</v>
      </c>
      <c r="F20" s="3"/>
      <c r="G20" s="3" t="s">
        <v>19</v>
      </c>
      <c r="H20" s="3"/>
      <c r="I20" s="3" t="s">
        <v>45</v>
      </c>
      <c r="J20" s="3"/>
      <c r="K20" s="3" t="s">
        <v>21</v>
      </c>
      <c r="L20" s="3" t="s">
        <v>21</v>
      </c>
      <c r="M20" s="3" t="s">
        <v>120</v>
      </c>
      <c r="N20" s="3" t="s">
        <v>121</v>
      </c>
      <c r="O20" s="3" t="s">
        <v>122</v>
      </c>
      <c r="P20" s="3" t="s">
        <v>123</v>
      </c>
      <c r="Q20" s="3"/>
      <c r="R20" s="3"/>
      <c r="S20" s="3"/>
      <c r="T20" s="3"/>
      <c r="U20" s="3"/>
      <c r="V20" s="3"/>
      <c r="W20" s="3"/>
      <c r="X20" s="3"/>
      <c r="Y20" s="3"/>
      <c r="Z20" s="3"/>
      <c r="AA20" s="3"/>
    </row>
    <row r="21" spans="1:27" ht="14.25" customHeight="1">
      <c r="A21" s="2">
        <v>46178</v>
      </c>
      <c r="B21" s="3" t="s">
        <v>111</v>
      </c>
      <c r="C21" s="3" t="s">
        <v>112</v>
      </c>
      <c r="D21" s="3" t="s">
        <v>113</v>
      </c>
      <c r="E21" s="3" t="s">
        <v>124</v>
      </c>
      <c r="F21" s="3"/>
      <c r="G21" s="3" t="s">
        <v>19</v>
      </c>
      <c r="H21" s="3"/>
      <c r="I21" s="3" t="s">
        <v>20</v>
      </c>
      <c r="J21" s="3"/>
      <c r="K21" s="3" t="s">
        <v>28</v>
      </c>
      <c r="L21" s="3" t="s">
        <v>28</v>
      </c>
      <c r="M21" s="3" t="s">
        <v>125</v>
      </c>
      <c r="N21" s="3" t="s">
        <v>126</v>
      </c>
      <c r="O21" s="3" t="s">
        <v>127</v>
      </c>
      <c r="P21" s="3" t="s">
        <v>55</v>
      </c>
      <c r="Q21" s="3"/>
      <c r="R21" s="3"/>
      <c r="S21" s="3"/>
      <c r="T21" s="3"/>
      <c r="U21" s="3"/>
      <c r="V21" s="3"/>
      <c r="W21" s="3"/>
      <c r="X21" s="3"/>
      <c r="Y21" s="3"/>
      <c r="Z21" s="3"/>
      <c r="AA21" s="3"/>
    </row>
    <row r="22" spans="1:27" ht="14.25" customHeight="1">
      <c r="A22" s="2">
        <v>46178</v>
      </c>
      <c r="B22" s="3" t="s">
        <v>111</v>
      </c>
      <c r="C22" s="3" t="s">
        <v>112</v>
      </c>
      <c r="D22" s="3" t="s">
        <v>113</v>
      </c>
      <c r="E22" s="3" t="s">
        <v>128</v>
      </c>
      <c r="F22" s="3"/>
      <c r="G22" s="3" t="s">
        <v>19</v>
      </c>
      <c r="H22" s="3"/>
      <c r="I22" s="3" t="s">
        <v>45</v>
      </c>
      <c r="J22" s="3"/>
      <c r="K22" s="3" t="s">
        <v>28</v>
      </c>
      <c r="L22" s="3" t="s">
        <v>28</v>
      </c>
      <c r="M22" s="3" t="s">
        <v>129</v>
      </c>
      <c r="N22" s="3" t="s">
        <v>130</v>
      </c>
      <c r="O22" s="3" t="s">
        <v>48</v>
      </c>
      <c r="P22" s="3"/>
      <c r="Q22" s="3"/>
      <c r="R22" s="3"/>
      <c r="S22" s="3"/>
      <c r="T22" s="3"/>
      <c r="U22" s="3"/>
      <c r="V22" s="3"/>
      <c r="W22" s="3"/>
      <c r="X22" s="3"/>
      <c r="Y22" s="3"/>
      <c r="Z22" s="3"/>
      <c r="AA22" s="3"/>
    </row>
    <row r="23" spans="1:27" ht="14.25" customHeight="1">
      <c r="A23" s="2">
        <v>46178</v>
      </c>
      <c r="B23" s="3" t="s">
        <v>81</v>
      </c>
      <c r="C23" s="3" t="s">
        <v>82</v>
      </c>
      <c r="D23" s="3" t="s">
        <v>95</v>
      </c>
      <c r="E23" s="3" t="s">
        <v>131</v>
      </c>
      <c r="F23" s="3"/>
      <c r="G23" s="3" t="s">
        <v>19</v>
      </c>
      <c r="H23" s="3"/>
      <c r="I23" s="3" t="s">
        <v>20</v>
      </c>
      <c r="J23" s="3"/>
      <c r="K23" s="3" t="s">
        <v>21</v>
      </c>
      <c r="L23" s="3" t="s">
        <v>21</v>
      </c>
      <c r="M23" s="3" t="s">
        <v>132</v>
      </c>
      <c r="N23" s="3" t="s">
        <v>133</v>
      </c>
      <c r="O23" s="3" t="s">
        <v>134</v>
      </c>
      <c r="P23" s="3" t="s">
        <v>135</v>
      </c>
      <c r="Q23" s="3"/>
      <c r="R23" s="3"/>
      <c r="S23" s="3"/>
      <c r="T23" s="3"/>
      <c r="U23" s="3"/>
      <c r="V23" s="3"/>
      <c r="W23" s="3"/>
      <c r="X23" s="3"/>
      <c r="Y23" s="3"/>
      <c r="Z23" s="3"/>
      <c r="AA23" s="3"/>
    </row>
    <row r="24" spans="1:27" ht="14.25" customHeight="1">
      <c r="A24" s="2">
        <v>46178</v>
      </c>
      <c r="B24" s="3" t="s">
        <v>81</v>
      </c>
      <c r="C24" s="3" t="s">
        <v>50</v>
      </c>
      <c r="D24" s="3" t="s">
        <v>136</v>
      </c>
      <c r="E24" s="3" t="s">
        <v>137</v>
      </c>
      <c r="F24" s="3"/>
      <c r="G24" s="3" t="s">
        <v>19</v>
      </c>
      <c r="H24" s="3"/>
      <c r="I24" s="3" t="s">
        <v>20</v>
      </c>
      <c r="J24" s="3"/>
      <c r="K24" s="3" t="s">
        <v>28</v>
      </c>
      <c r="L24" s="3" t="s">
        <v>28</v>
      </c>
      <c r="M24" s="3" t="s">
        <v>138</v>
      </c>
      <c r="N24" s="3" t="s">
        <v>139</v>
      </c>
      <c r="O24" s="3" t="s">
        <v>140</v>
      </c>
      <c r="P24" s="3" t="s">
        <v>141</v>
      </c>
      <c r="Q24" s="3"/>
      <c r="R24" s="3"/>
      <c r="S24" s="3"/>
      <c r="T24" s="3"/>
      <c r="U24" s="3"/>
      <c r="V24" s="3"/>
      <c r="W24" s="3"/>
      <c r="X24" s="3"/>
      <c r="Y24" s="3"/>
      <c r="Z24" s="3"/>
      <c r="AA24" s="3"/>
    </row>
    <row r="25" spans="1:27" ht="14.25" customHeight="1">
      <c r="A25" s="2">
        <v>46178</v>
      </c>
      <c r="B25" s="3" t="s">
        <v>111</v>
      </c>
      <c r="C25" s="3" t="s">
        <v>112</v>
      </c>
      <c r="D25" s="3" t="s">
        <v>113</v>
      </c>
      <c r="E25" s="3" t="s">
        <v>142</v>
      </c>
      <c r="F25" s="3"/>
      <c r="G25" s="3" t="s">
        <v>19</v>
      </c>
      <c r="H25" s="3"/>
      <c r="I25" s="3" t="s">
        <v>20</v>
      </c>
      <c r="J25" s="3"/>
      <c r="K25" s="3" t="s">
        <v>28</v>
      </c>
      <c r="L25" s="3" t="s">
        <v>28</v>
      </c>
      <c r="M25" s="3" t="s">
        <v>143</v>
      </c>
      <c r="N25" s="3" t="s">
        <v>48</v>
      </c>
      <c r="O25" s="3" t="s">
        <v>144</v>
      </c>
      <c r="P25" s="3"/>
      <c r="Q25" s="3"/>
      <c r="R25" s="3"/>
      <c r="S25" s="3"/>
      <c r="T25" s="3"/>
      <c r="U25" s="3"/>
      <c r="V25" s="3"/>
      <c r="W25" s="3"/>
      <c r="X25" s="3"/>
      <c r="Y25" s="3"/>
      <c r="Z25" s="3"/>
      <c r="AA25" s="3"/>
    </row>
    <row r="26" spans="1:27" ht="14.25" customHeight="1">
      <c r="A26" s="2">
        <v>46178</v>
      </c>
      <c r="B26" s="3" t="s">
        <v>111</v>
      </c>
      <c r="C26" s="3" t="s">
        <v>112</v>
      </c>
      <c r="D26" s="3" t="s">
        <v>145</v>
      </c>
      <c r="E26" s="3" t="s">
        <v>146</v>
      </c>
      <c r="F26" s="3"/>
      <c r="G26" s="3" t="s">
        <v>19</v>
      </c>
      <c r="H26" s="3"/>
      <c r="I26" s="3" t="s">
        <v>20</v>
      </c>
      <c r="J26" s="3"/>
      <c r="K26" s="3" t="s">
        <v>21</v>
      </c>
      <c r="L26" s="3" t="s">
        <v>21</v>
      </c>
      <c r="M26" s="3" t="s">
        <v>147</v>
      </c>
      <c r="N26" s="3" t="s">
        <v>148</v>
      </c>
      <c r="O26" s="3" t="s">
        <v>149</v>
      </c>
      <c r="P26" s="3"/>
      <c r="Q26" s="3"/>
      <c r="R26" s="3"/>
      <c r="S26" s="3"/>
      <c r="T26" s="3"/>
      <c r="U26" s="3"/>
      <c r="V26" s="3"/>
      <c r="W26" s="3"/>
      <c r="X26" s="3"/>
      <c r="Y26" s="3"/>
      <c r="Z26" s="3"/>
      <c r="AA26" s="3"/>
    </row>
    <row r="27" spans="1:27" ht="14.25" customHeight="1">
      <c r="A27" s="2">
        <v>46178</v>
      </c>
      <c r="B27" s="3" t="s">
        <v>150</v>
      </c>
      <c r="C27" s="3" t="s">
        <v>151</v>
      </c>
      <c r="D27" s="3" t="s">
        <v>150</v>
      </c>
      <c r="E27" s="3" t="s">
        <v>152</v>
      </c>
      <c r="F27" s="3"/>
      <c r="G27" s="3" t="s">
        <v>19</v>
      </c>
      <c r="H27" s="3"/>
      <c r="I27" s="3" t="s">
        <v>45</v>
      </c>
      <c r="J27" s="3"/>
      <c r="K27" s="3" t="s">
        <v>28</v>
      </c>
      <c r="L27" s="3" t="s">
        <v>28</v>
      </c>
      <c r="M27" s="3" t="s">
        <v>153</v>
      </c>
      <c r="N27" s="3" t="s">
        <v>154</v>
      </c>
      <c r="O27" s="3" t="s">
        <v>155</v>
      </c>
      <c r="P27" s="3" t="s">
        <v>48</v>
      </c>
      <c r="Q27" s="3"/>
      <c r="R27" s="3"/>
      <c r="S27" s="3"/>
      <c r="T27" s="3"/>
      <c r="U27" s="3"/>
      <c r="V27" s="3"/>
      <c r="W27" s="3"/>
      <c r="X27" s="3"/>
      <c r="Y27" s="3"/>
      <c r="Z27" s="3"/>
      <c r="AA27" s="3"/>
    </row>
    <row r="28" spans="1:27" ht="14.25" customHeight="1">
      <c r="A28" s="2">
        <v>46178</v>
      </c>
      <c r="B28" s="3" t="s">
        <v>15</v>
      </c>
      <c r="C28" s="3" t="s">
        <v>33</v>
      </c>
      <c r="D28" s="3" t="s">
        <v>34</v>
      </c>
      <c r="E28" s="3" t="s">
        <v>156</v>
      </c>
      <c r="F28" s="3"/>
      <c r="G28" s="3" t="s">
        <v>19</v>
      </c>
      <c r="H28" s="3"/>
      <c r="I28" s="3" t="s">
        <v>20</v>
      </c>
      <c r="J28" s="3"/>
      <c r="K28" s="3" t="s">
        <v>21</v>
      </c>
      <c r="L28" s="3" t="s">
        <v>21</v>
      </c>
      <c r="M28" s="3" t="s">
        <v>157</v>
      </c>
      <c r="N28" s="3" t="s">
        <v>158</v>
      </c>
      <c r="O28" s="3" t="s">
        <v>159</v>
      </c>
      <c r="P28" s="3" t="s">
        <v>160</v>
      </c>
      <c r="Q28" s="3"/>
      <c r="R28" s="3"/>
      <c r="S28" s="3"/>
      <c r="T28" s="3"/>
      <c r="U28" s="3"/>
      <c r="V28" s="3"/>
      <c r="W28" s="3"/>
      <c r="X28" s="3"/>
      <c r="Y28" s="3"/>
      <c r="Z28" s="3"/>
      <c r="AA28" s="3"/>
    </row>
    <row r="29" spans="1:27" ht="14.25" customHeight="1">
      <c r="A29" s="2">
        <v>46178</v>
      </c>
      <c r="B29" s="3" t="s">
        <v>111</v>
      </c>
      <c r="C29" s="3" t="s">
        <v>112</v>
      </c>
      <c r="D29" s="3" t="s">
        <v>113</v>
      </c>
      <c r="E29" s="3" t="s">
        <v>161</v>
      </c>
      <c r="F29" s="3"/>
      <c r="G29" s="3" t="s">
        <v>19</v>
      </c>
      <c r="H29" s="3"/>
      <c r="I29" s="3" t="s">
        <v>45</v>
      </c>
      <c r="J29" s="3"/>
      <c r="K29" s="3" t="s">
        <v>28</v>
      </c>
      <c r="L29" s="3" t="s">
        <v>28</v>
      </c>
      <c r="M29" s="3" t="s">
        <v>162</v>
      </c>
      <c r="N29" s="3" t="s">
        <v>30</v>
      </c>
      <c r="O29" s="3" t="s">
        <v>163</v>
      </c>
      <c r="P29" s="3" t="s">
        <v>164</v>
      </c>
      <c r="Q29" s="3"/>
      <c r="R29" s="3"/>
      <c r="S29" s="3"/>
      <c r="T29" s="3"/>
      <c r="U29" s="3"/>
      <c r="V29" s="3"/>
      <c r="W29" s="3"/>
      <c r="X29" s="3"/>
      <c r="Y29" s="3"/>
      <c r="Z29" s="3"/>
      <c r="AA29" s="3"/>
    </row>
    <row r="30" spans="1:27" ht="14.25" customHeight="1">
      <c r="A30" s="2">
        <v>46178</v>
      </c>
      <c r="B30" s="3" t="s">
        <v>15</v>
      </c>
      <c r="C30" s="3" t="s">
        <v>16</v>
      </c>
      <c r="D30" s="3" t="s">
        <v>17</v>
      </c>
      <c r="E30" s="3" t="s">
        <v>165</v>
      </c>
      <c r="F30" s="3"/>
      <c r="G30" s="3" t="s">
        <v>19</v>
      </c>
      <c r="H30" s="3"/>
      <c r="I30" s="3" t="s">
        <v>45</v>
      </c>
      <c r="J30" s="3"/>
      <c r="K30" s="3" t="s">
        <v>28</v>
      </c>
      <c r="L30" s="3" t="s">
        <v>21</v>
      </c>
      <c r="M30" s="3" t="s">
        <v>166</v>
      </c>
      <c r="N30" s="3" t="s">
        <v>167</v>
      </c>
      <c r="O30" s="3" t="s">
        <v>168</v>
      </c>
      <c r="P30" s="3" t="s">
        <v>30</v>
      </c>
      <c r="Q30" s="3"/>
      <c r="R30" s="3"/>
      <c r="S30" s="3"/>
      <c r="T30" s="3"/>
      <c r="U30" s="3"/>
      <c r="V30" s="3"/>
      <c r="W30" s="3"/>
      <c r="X30" s="3"/>
      <c r="Y30" s="3"/>
      <c r="Z30" s="3"/>
      <c r="AA30" s="3"/>
    </row>
    <row r="31" spans="1:27" ht="14.25" customHeight="1">
      <c r="A31" s="2">
        <v>46178</v>
      </c>
      <c r="B31" s="3" t="s">
        <v>25</v>
      </c>
      <c r="C31" s="3" t="s">
        <v>26</v>
      </c>
      <c r="D31" s="3" t="s">
        <v>25</v>
      </c>
      <c r="E31" s="3" t="s">
        <v>169</v>
      </c>
      <c r="F31" s="3"/>
      <c r="G31" s="3" t="s">
        <v>19</v>
      </c>
      <c r="H31" s="3"/>
      <c r="I31" s="3" t="s">
        <v>45</v>
      </c>
      <c r="J31" s="3"/>
      <c r="K31" s="3" t="s">
        <v>28</v>
      </c>
      <c r="L31" s="3" t="s">
        <v>28</v>
      </c>
      <c r="M31" s="3" t="s">
        <v>170</v>
      </c>
      <c r="N31" s="3" t="s">
        <v>171</v>
      </c>
      <c r="O31" s="3" t="s">
        <v>172</v>
      </c>
      <c r="P31" s="3" t="s">
        <v>173</v>
      </c>
      <c r="Q31" s="3"/>
      <c r="R31" s="3"/>
      <c r="S31" s="3"/>
      <c r="T31" s="3"/>
      <c r="U31" s="3"/>
      <c r="V31" s="3"/>
      <c r="W31" s="3"/>
      <c r="X31" s="3"/>
      <c r="Y31" s="3"/>
      <c r="Z31" s="3"/>
      <c r="AA31" s="3"/>
    </row>
    <row r="32" spans="1:27" ht="14.25" customHeight="1">
      <c r="A32" s="2">
        <v>46178</v>
      </c>
      <c r="B32" s="3" t="s">
        <v>111</v>
      </c>
      <c r="C32" s="3" t="s">
        <v>112</v>
      </c>
      <c r="D32" s="3" t="s">
        <v>113</v>
      </c>
      <c r="E32" s="3" t="s">
        <v>174</v>
      </c>
      <c r="F32" s="3"/>
      <c r="G32" s="3" t="s">
        <v>19</v>
      </c>
      <c r="H32" s="3"/>
      <c r="I32" s="3" t="s">
        <v>45</v>
      </c>
      <c r="J32" s="3"/>
      <c r="K32" s="3" t="s">
        <v>21</v>
      </c>
      <c r="L32" s="3" t="s">
        <v>21</v>
      </c>
      <c r="M32" s="3" t="s">
        <v>175</v>
      </c>
      <c r="N32" s="3" t="s">
        <v>176</v>
      </c>
      <c r="O32" s="3" t="s">
        <v>48</v>
      </c>
      <c r="P32" s="3" t="s">
        <v>30</v>
      </c>
      <c r="Q32" s="3"/>
      <c r="R32" s="3"/>
      <c r="S32" s="3"/>
      <c r="T32" s="3"/>
      <c r="U32" s="3"/>
      <c r="V32" s="3"/>
      <c r="W32" s="3"/>
      <c r="X32" s="3"/>
      <c r="Y32" s="3"/>
      <c r="Z32" s="3"/>
      <c r="AA32" s="3"/>
    </row>
    <row r="33" spans="1:27" ht="14.25" customHeight="1">
      <c r="A33" s="2">
        <v>46178</v>
      </c>
      <c r="B33" s="3" t="s">
        <v>15</v>
      </c>
      <c r="C33" s="3" t="s">
        <v>16</v>
      </c>
      <c r="D33" s="3" t="s">
        <v>177</v>
      </c>
      <c r="E33" s="3" t="s">
        <v>178</v>
      </c>
      <c r="F33" s="3"/>
      <c r="G33" s="3" t="s">
        <v>19</v>
      </c>
      <c r="H33" s="3"/>
      <c r="I33" s="3" t="s">
        <v>20</v>
      </c>
      <c r="J33" s="3"/>
      <c r="K33" s="3" t="s">
        <v>28</v>
      </c>
      <c r="L33" s="3" t="s">
        <v>28</v>
      </c>
      <c r="M33" s="3" t="s">
        <v>179</v>
      </c>
      <c r="N33" s="3" t="s">
        <v>48</v>
      </c>
      <c r="O33" s="3" t="s">
        <v>48</v>
      </c>
      <c r="P33" s="3" t="s">
        <v>180</v>
      </c>
      <c r="Q33" s="3"/>
      <c r="R33" s="3"/>
      <c r="S33" s="3"/>
      <c r="T33" s="3"/>
      <c r="U33" s="3"/>
      <c r="V33" s="3"/>
      <c r="W33" s="3"/>
      <c r="X33" s="3"/>
      <c r="Y33" s="3"/>
      <c r="Z33" s="3"/>
      <c r="AA33" s="3"/>
    </row>
    <row r="34" spans="1:27" ht="14.25" customHeight="1">
      <c r="A34" s="2">
        <v>46178</v>
      </c>
      <c r="B34" s="3" t="s">
        <v>81</v>
      </c>
      <c r="C34" s="3" t="s">
        <v>50</v>
      </c>
      <c r="D34" s="3" t="s">
        <v>136</v>
      </c>
      <c r="E34" s="3" t="s">
        <v>137</v>
      </c>
      <c r="F34" s="3"/>
      <c r="G34" s="3" t="s">
        <v>19</v>
      </c>
      <c r="H34" s="3"/>
      <c r="I34" s="3" t="s">
        <v>20</v>
      </c>
      <c r="J34" s="3"/>
      <c r="K34" s="3" t="s">
        <v>28</v>
      </c>
      <c r="L34" s="3" t="s">
        <v>28</v>
      </c>
      <c r="M34" s="3" t="s">
        <v>181</v>
      </c>
      <c r="N34" s="3" t="s">
        <v>182</v>
      </c>
      <c r="O34" s="3" t="s">
        <v>183</v>
      </c>
      <c r="P34" s="3" t="s">
        <v>184</v>
      </c>
      <c r="Q34" s="3"/>
      <c r="R34" s="3"/>
      <c r="S34" s="3"/>
      <c r="T34" s="3"/>
      <c r="U34" s="3"/>
      <c r="V34" s="3"/>
      <c r="W34" s="3"/>
      <c r="X34" s="3"/>
      <c r="Y34" s="3"/>
      <c r="Z34" s="3"/>
      <c r="AA34" s="3"/>
    </row>
    <row r="35" spans="1:27" ht="14.25" customHeight="1">
      <c r="A35" s="2">
        <v>46178</v>
      </c>
      <c r="B35" s="3" t="s">
        <v>81</v>
      </c>
      <c r="C35" s="3" t="s">
        <v>82</v>
      </c>
      <c r="D35" s="3" t="s">
        <v>95</v>
      </c>
      <c r="E35" s="3" t="s">
        <v>185</v>
      </c>
      <c r="F35" s="3"/>
      <c r="G35" s="3" t="s">
        <v>19</v>
      </c>
      <c r="H35" s="3"/>
      <c r="I35" s="3" t="s">
        <v>20</v>
      </c>
      <c r="J35" s="3"/>
      <c r="K35" s="3" t="s">
        <v>186</v>
      </c>
      <c r="L35" s="3" t="s">
        <v>186</v>
      </c>
      <c r="M35" s="3" t="s">
        <v>187</v>
      </c>
      <c r="N35" s="3" t="s">
        <v>188</v>
      </c>
      <c r="O35" s="3" t="s">
        <v>189</v>
      </c>
      <c r="P35" s="3" t="s">
        <v>190</v>
      </c>
      <c r="Q35" s="3"/>
      <c r="R35" s="3"/>
      <c r="S35" s="3"/>
      <c r="T35" s="3"/>
      <c r="U35" s="3"/>
      <c r="V35" s="3"/>
      <c r="W35" s="3"/>
      <c r="X35" s="3"/>
      <c r="Y35" s="3"/>
      <c r="Z35" s="3"/>
      <c r="AA35" s="3"/>
    </row>
    <row r="36" spans="1:27" ht="14.25" customHeight="1">
      <c r="A36" s="2">
        <v>46178</v>
      </c>
      <c r="B36" s="3" t="s">
        <v>81</v>
      </c>
      <c r="C36" s="3" t="s">
        <v>50</v>
      </c>
      <c r="D36" s="3" t="s">
        <v>136</v>
      </c>
      <c r="E36" s="3" t="s">
        <v>191</v>
      </c>
      <c r="F36" s="3"/>
      <c r="G36" s="3" t="s">
        <v>19</v>
      </c>
      <c r="H36" s="3"/>
      <c r="I36" s="3" t="s">
        <v>20</v>
      </c>
      <c r="J36" s="3"/>
      <c r="K36" s="3" t="s">
        <v>28</v>
      </c>
      <c r="L36" s="3" t="s">
        <v>28</v>
      </c>
      <c r="M36" s="3" t="s">
        <v>192</v>
      </c>
      <c r="N36" s="3" t="s">
        <v>193</v>
      </c>
      <c r="O36" s="3" t="s">
        <v>194</v>
      </c>
      <c r="P36" s="3" t="s">
        <v>195</v>
      </c>
      <c r="Q36" s="3"/>
      <c r="R36" s="3"/>
      <c r="S36" s="3"/>
      <c r="T36" s="3"/>
      <c r="U36" s="3"/>
      <c r="V36" s="3"/>
      <c r="W36" s="3"/>
      <c r="X36" s="3"/>
      <c r="Y36" s="3"/>
      <c r="Z36" s="3"/>
      <c r="AA36" s="3"/>
    </row>
    <row r="37" spans="1:27" ht="14.25" customHeight="1">
      <c r="A37" s="2">
        <v>46178</v>
      </c>
      <c r="B37" s="3" t="s">
        <v>81</v>
      </c>
      <c r="C37" s="3" t="s">
        <v>50</v>
      </c>
      <c r="D37" s="3" t="s">
        <v>196</v>
      </c>
      <c r="E37" s="3" t="s">
        <v>197</v>
      </c>
      <c r="F37" s="3"/>
      <c r="G37" s="3" t="s">
        <v>19</v>
      </c>
      <c r="H37" s="3"/>
      <c r="I37" s="3" t="s">
        <v>20</v>
      </c>
      <c r="J37" s="3"/>
      <c r="K37" s="3" t="s">
        <v>186</v>
      </c>
      <c r="L37" s="3" t="s">
        <v>21</v>
      </c>
      <c r="M37" s="3" t="s">
        <v>198</v>
      </c>
      <c r="N37" s="3" t="s">
        <v>199</v>
      </c>
      <c r="O37" s="3" t="s">
        <v>199</v>
      </c>
      <c r="P37" s="3"/>
      <c r="Q37" s="3"/>
      <c r="R37" s="3"/>
      <c r="S37" s="3"/>
      <c r="T37" s="3"/>
      <c r="U37" s="3"/>
      <c r="V37" s="3"/>
      <c r="W37" s="3"/>
      <c r="X37" s="3"/>
      <c r="Y37" s="3"/>
      <c r="Z37" s="3"/>
      <c r="AA37" s="3"/>
    </row>
    <row r="38" spans="1:27" ht="14.25" customHeight="1">
      <c r="A38" s="2">
        <v>46178</v>
      </c>
      <c r="B38" s="3" t="s">
        <v>81</v>
      </c>
      <c r="C38" s="3" t="s">
        <v>82</v>
      </c>
      <c r="D38" s="3" t="s">
        <v>95</v>
      </c>
      <c r="E38" s="3" t="s">
        <v>200</v>
      </c>
      <c r="F38" s="3"/>
      <c r="G38" s="3" t="s">
        <v>19</v>
      </c>
      <c r="H38" s="3"/>
      <c r="I38" s="3" t="s">
        <v>20</v>
      </c>
      <c r="J38" s="3"/>
      <c r="K38" s="3" t="s">
        <v>21</v>
      </c>
      <c r="L38" s="3" t="s">
        <v>21</v>
      </c>
      <c r="M38" s="3" t="s">
        <v>201</v>
      </c>
      <c r="N38" s="3" t="s">
        <v>202</v>
      </c>
      <c r="O38" s="3" t="s">
        <v>30</v>
      </c>
      <c r="P38" s="3" t="s">
        <v>30</v>
      </c>
      <c r="Q38" s="3"/>
      <c r="R38" s="3"/>
      <c r="S38" s="3"/>
      <c r="T38" s="3"/>
      <c r="U38" s="3"/>
      <c r="V38" s="3"/>
      <c r="W38" s="3"/>
      <c r="X38" s="3"/>
      <c r="Y38" s="3"/>
      <c r="Z38" s="3"/>
      <c r="AA38" s="3"/>
    </row>
    <row r="39" spans="1:27" ht="14.25" customHeight="1">
      <c r="A39" s="2">
        <v>46178</v>
      </c>
      <c r="B39" s="3" t="s">
        <v>15</v>
      </c>
      <c r="C39" s="3" t="s">
        <v>16</v>
      </c>
      <c r="D39" s="3" t="s">
        <v>105</v>
      </c>
      <c r="E39" s="3" t="s">
        <v>203</v>
      </c>
      <c r="F39" s="3"/>
      <c r="G39" s="3" t="s">
        <v>19</v>
      </c>
      <c r="H39" s="3"/>
      <c r="I39" s="3" t="s">
        <v>20</v>
      </c>
      <c r="J39" s="3"/>
      <c r="K39" s="3" t="s">
        <v>28</v>
      </c>
      <c r="L39" s="3" t="s">
        <v>28</v>
      </c>
      <c r="M39" s="3" t="s">
        <v>204</v>
      </c>
      <c r="N39" s="3" t="s">
        <v>205</v>
      </c>
      <c r="O39" s="3" t="s">
        <v>206</v>
      </c>
      <c r="P39" s="3"/>
      <c r="Q39" s="3"/>
      <c r="R39" s="3"/>
      <c r="S39" s="3"/>
      <c r="T39" s="3"/>
      <c r="U39" s="3"/>
      <c r="V39" s="3"/>
      <c r="W39" s="3"/>
      <c r="X39" s="3"/>
      <c r="Y39" s="3"/>
      <c r="Z39" s="3"/>
      <c r="AA39" s="3"/>
    </row>
    <row r="40" spans="1:27" ht="14.25" customHeight="1">
      <c r="A40" s="2">
        <v>46178</v>
      </c>
      <c r="B40" s="3" t="s">
        <v>25</v>
      </c>
      <c r="C40" s="3" t="s">
        <v>26</v>
      </c>
      <c r="D40" s="3" t="s">
        <v>25</v>
      </c>
      <c r="E40" s="3" t="s">
        <v>207</v>
      </c>
      <c r="F40" s="3"/>
      <c r="G40" s="3" t="s">
        <v>19</v>
      </c>
      <c r="H40" s="3"/>
      <c r="I40" s="3" t="s">
        <v>20</v>
      </c>
      <c r="J40" s="3"/>
      <c r="K40" s="3" t="s">
        <v>21</v>
      </c>
      <c r="L40" s="3" t="s">
        <v>21</v>
      </c>
      <c r="M40" s="3" t="s">
        <v>208</v>
      </c>
      <c r="N40" s="3" t="s">
        <v>209</v>
      </c>
      <c r="O40" s="3" t="s">
        <v>210</v>
      </c>
      <c r="P40" s="3" t="s">
        <v>211</v>
      </c>
      <c r="Q40" s="3"/>
      <c r="R40" s="3"/>
      <c r="S40" s="3"/>
      <c r="T40" s="3"/>
      <c r="U40" s="3"/>
      <c r="V40" s="3"/>
      <c r="W40" s="3"/>
      <c r="X40" s="3"/>
      <c r="Y40" s="3"/>
      <c r="Z40" s="3"/>
      <c r="AA40" s="3"/>
    </row>
    <row r="41" spans="1:27" ht="14.25" customHeight="1">
      <c r="A41" s="2">
        <v>46178</v>
      </c>
      <c r="B41" s="3" t="s">
        <v>81</v>
      </c>
      <c r="C41" s="3" t="s">
        <v>50</v>
      </c>
      <c r="D41" s="3" t="s">
        <v>136</v>
      </c>
      <c r="E41" s="3" t="s">
        <v>212</v>
      </c>
      <c r="F41" s="3"/>
      <c r="G41" s="3" t="s">
        <v>19</v>
      </c>
      <c r="H41" s="3"/>
      <c r="I41" s="3" t="s">
        <v>20</v>
      </c>
      <c r="J41" s="3"/>
      <c r="K41" s="3" t="s">
        <v>21</v>
      </c>
      <c r="L41" s="3" t="s">
        <v>21</v>
      </c>
      <c r="M41" s="3" t="s">
        <v>213</v>
      </c>
      <c r="N41" s="3" t="s">
        <v>214</v>
      </c>
      <c r="O41" s="3" t="s">
        <v>215</v>
      </c>
      <c r="P41" s="3" t="s">
        <v>216</v>
      </c>
      <c r="Q41" s="3"/>
      <c r="R41" s="3"/>
      <c r="S41" s="3"/>
      <c r="T41" s="3"/>
      <c r="U41" s="3"/>
      <c r="V41" s="3"/>
      <c r="W41" s="3"/>
      <c r="X41" s="3"/>
      <c r="Y41" s="3"/>
      <c r="Z41" s="3"/>
      <c r="AA41" s="3"/>
    </row>
    <row r="42" spans="1:27" ht="14.25" customHeight="1">
      <c r="A42" s="2">
        <v>46178</v>
      </c>
      <c r="B42" s="3" t="s">
        <v>81</v>
      </c>
      <c r="C42" s="3" t="s">
        <v>82</v>
      </c>
      <c r="D42" s="3" t="s">
        <v>83</v>
      </c>
      <c r="E42" s="3" t="s">
        <v>217</v>
      </c>
      <c r="F42" s="3"/>
      <c r="G42" s="3" t="s">
        <v>19</v>
      </c>
      <c r="H42" s="3"/>
      <c r="I42" s="3" t="s">
        <v>20</v>
      </c>
      <c r="J42" s="3"/>
      <c r="K42" s="3" t="s">
        <v>28</v>
      </c>
      <c r="L42" s="3" t="s">
        <v>28</v>
      </c>
      <c r="M42" s="3" t="s">
        <v>218</v>
      </c>
      <c r="N42" s="3" t="s">
        <v>219</v>
      </c>
      <c r="O42" s="3" t="s">
        <v>220</v>
      </c>
      <c r="P42" s="3" t="s">
        <v>221</v>
      </c>
      <c r="Q42" s="3"/>
      <c r="R42" s="3"/>
      <c r="S42" s="3"/>
      <c r="T42" s="3"/>
      <c r="U42" s="3"/>
      <c r="V42" s="3"/>
      <c r="W42" s="3"/>
      <c r="X42" s="3"/>
      <c r="Y42" s="3"/>
      <c r="Z42" s="3"/>
      <c r="AA42" s="3"/>
    </row>
    <row r="43" spans="1:27" ht="14.25" customHeight="1">
      <c r="A43" s="2">
        <v>46178</v>
      </c>
      <c r="B43" s="3" t="s">
        <v>72</v>
      </c>
      <c r="C43" s="3" t="s">
        <v>73</v>
      </c>
      <c r="D43" s="3" t="s">
        <v>72</v>
      </c>
      <c r="E43" s="3" t="s">
        <v>222</v>
      </c>
      <c r="F43" s="3"/>
      <c r="G43" s="3" t="s">
        <v>19</v>
      </c>
      <c r="H43" s="3"/>
      <c r="I43" s="3" t="s">
        <v>45</v>
      </c>
      <c r="J43" s="3"/>
      <c r="K43" s="3" t="s">
        <v>28</v>
      </c>
      <c r="L43" s="3" t="s">
        <v>28</v>
      </c>
      <c r="M43" s="3" t="s">
        <v>223</v>
      </c>
      <c r="N43" s="3" t="s">
        <v>48</v>
      </c>
      <c r="O43" s="3" t="s">
        <v>48</v>
      </c>
      <c r="P43" s="3" t="s">
        <v>48</v>
      </c>
      <c r="Q43" s="3"/>
      <c r="R43" s="3"/>
      <c r="S43" s="3"/>
      <c r="T43" s="3"/>
      <c r="U43" s="3"/>
      <c r="V43" s="3"/>
      <c r="W43" s="3"/>
      <c r="X43" s="3"/>
      <c r="Y43" s="3"/>
      <c r="Z43" s="3"/>
      <c r="AA43" s="3"/>
    </row>
    <row r="44" spans="1:27" ht="14.25" customHeight="1">
      <c r="A44" s="2">
        <v>46178</v>
      </c>
      <c r="B44" s="3" t="s">
        <v>15</v>
      </c>
      <c r="C44" s="3" t="s">
        <v>39</v>
      </c>
      <c r="D44" s="3" t="s">
        <v>15</v>
      </c>
      <c r="E44" s="3" t="s">
        <v>224</v>
      </c>
      <c r="F44" s="3"/>
      <c r="G44" s="3" t="s">
        <v>19</v>
      </c>
      <c r="H44" s="3"/>
      <c r="I44" s="3" t="s">
        <v>20</v>
      </c>
      <c r="J44" s="3"/>
      <c r="K44" s="3" t="s">
        <v>28</v>
      </c>
      <c r="L44" s="3" t="s">
        <v>28</v>
      </c>
      <c r="M44" s="3" t="s">
        <v>225</v>
      </c>
      <c r="N44" s="3" t="s">
        <v>226</v>
      </c>
      <c r="O44" s="3" t="s">
        <v>226</v>
      </c>
      <c r="P44" s="3"/>
      <c r="Q44" s="3"/>
      <c r="R44" s="3"/>
      <c r="S44" s="3"/>
      <c r="T44" s="3"/>
      <c r="U44" s="3"/>
      <c r="V44" s="3"/>
      <c r="W44" s="3"/>
      <c r="X44" s="3"/>
      <c r="Y44" s="3"/>
      <c r="Z44" s="3"/>
      <c r="AA44" s="3"/>
    </row>
    <row r="45" spans="1:27" ht="14.25" customHeight="1">
      <c r="A45" s="2">
        <v>46178</v>
      </c>
      <c r="B45" s="3" t="s">
        <v>150</v>
      </c>
      <c r="C45" s="3" t="s">
        <v>151</v>
      </c>
      <c r="D45" s="3" t="s">
        <v>150</v>
      </c>
      <c r="E45" s="3" t="s">
        <v>227</v>
      </c>
      <c r="F45" s="3"/>
      <c r="G45" s="3" t="s">
        <v>19</v>
      </c>
      <c r="H45" s="3"/>
      <c r="I45" s="3" t="s">
        <v>45</v>
      </c>
      <c r="J45" s="3"/>
      <c r="K45" s="3" t="s">
        <v>21</v>
      </c>
      <c r="L45" s="3" t="s">
        <v>28</v>
      </c>
      <c r="M45" s="3" t="s">
        <v>228</v>
      </c>
      <c r="N45" s="3" t="s">
        <v>229</v>
      </c>
      <c r="O45" s="3" t="s">
        <v>230</v>
      </c>
      <c r="P45" s="3" t="s">
        <v>30</v>
      </c>
      <c r="Q45" s="3"/>
      <c r="R45" s="3"/>
      <c r="S45" s="3"/>
      <c r="T45" s="3"/>
      <c r="U45" s="3"/>
      <c r="V45" s="3"/>
      <c r="W45" s="3"/>
      <c r="X45" s="3"/>
      <c r="Y45" s="3"/>
      <c r="Z45" s="3"/>
      <c r="AA45" s="3"/>
    </row>
    <row r="46" spans="1:27" ht="14.25" customHeight="1">
      <c r="A46" s="2">
        <v>46178</v>
      </c>
      <c r="B46" s="3" t="s">
        <v>111</v>
      </c>
      <c r="C46" s="3" t="s">
        <v>112</v>
      </c>
      <c r="D46" s="3" t="s">
        <v>113</v>
      </c>
      <c r="E46" s="3" t="s">
        <v>231</v>
      </c>
      <c r="F46" s="3"/>
      <c r="G46" s="3" t="s">
        <v>19</v>
      </c>
      <c r="H46" s="3"/>
      <c r="I46" s="3" t="s">
        <v>20</v>
      </c>
      <c r="J46" s="3"/>
      <c r="K46" s="3" t="s">
        <v>21</v>
      </c>
      <c r="L46" s="3" t="s">
        <v>28</v>
      </c>
      <c r="M46" s="3" t="s">
        <v>232</v>
      </c>
      <c r="N46" s="3" t="s">
        <v>233</v>
      </c>
      <c r="O46" s="3" t="s">
        <v>234</v>
      </c>
      <c r="P46" s="3" t="s">
        <v>30</v>
      </c>
      <c r="Q46" s="3"/>
      <c r="R46" s="3"/>
      <c r="S46" s="3"/>
      <c r="T46" s="3"/>
      <c r="U46" s="3"/>
      <c r="V46" s="3"/>
      <c r="W46" s="3"/>
      <c r="X46" s="3"/>
      <c r="Y46" s="3"/>
      <c r="Z46" s="3"/>
      <c r="AA46" s="3"/>
    </row>
    <row r="47" spans="1:27" ht="14.25" customHeight="1">
      <c r="A47" s="2">
        <v>46178</v>
      </c>
      <c r="B47" s="3" t="s">
        <v>25</v>
      </c>
      <c r="C47" s="3" t="s">
        <v>26</v>
      </c>
      <c r="D47" s="3" t="s">
        <v>25</v>
      </c>
      <c r="E47" s="3" t="s">
        <v>235</v>
      </c>
      <c r="F47" s="3"/>
      <c r="G47" s="3" t="s">
        <v>19</v>
      </c>
      <c r="H47" s="3"/>
      <c r="I47" s="3" t="s">
        <v>45</v>
      </c>
      <c r="J47" s="3"/>
      <c r="K47" s="3" t="s">
        <v>21</v>
      </c>
      <c r="L47" s="3" t="s">
        <v>28</v>
      </c>
      <c r="M47" s="3" t="s">
        <v>236</v>
      </c>
      <c r="N47" s="3" t="s">
        <v>237</v>
      </c>
      <c r="O47" s="3" t="s">
        <v>238</v>
      </c>
      <c r="P47" s="3" t="s">
        <v>30</v>
      </c>
      <c r="Q47" s="3"/>
      <c r="R47" s="3"/>
      <c r="S47" s="3"/>
      <c r="T47" s="3"/>
      <c r="U47" s="3"/>
      <c r="V47" s="3"/>
      <c r="W47" s="3"/>
      <c r="X47" s="3"/>
      <c r="Y47" s="3"/>
      <c r="Z47" s="3"/>
      <c r="AA47" s="3"/>
    </row>
    <row r="48" spans="1:27" ht="14.25" customHeight="1">
      <c r="A48" s="2">
        <v>46178</v>
      </c>
      <c r="B48" s="3" t="s">
        <v>15</v>
      </c>
      <c r="C48" s="3" t="s">
        <v>39</v>
      </c>
      <c r="D48" s="3" t="s">
        <v>57</v>
      </c>
      <c r="E48" s="3" t="s">
        <v>239</v>
      </c>
      <c r="F48" s="3"/>
      <c r="G48" s="3" t="s">
        <v>19</v>
      </c>
      <c r="H48" s="3"/>
      <c r="I48" s="3" t="s">
        <v>45</v>
      </c>
      <c r="J48" s="3"/>
      <c r="K48" s="3" t="s">
        <v>21</v>
      </c>
      <c r="L48" s="3" t="s">
        <v>28</v>
      </c>
      <c r="M48" s="3" t="s">
        <v>240</v>
      </c>
      <c r="N48" s="3" t="s">
        <v>48</v>
      </c>
      <c r="O48" s="3" t="s">
        <v>241</v>
      </c>
      <c r="P48" s="3" t="s">
        <v>48</v>
      </c>
      <c r="Q48" s="3"/>
      <c r="R48" s="3"/>
      <c r="S48" s="3"/>
      <c r="T48" s="3"/>
      <c r="U48" s="3"/>
      <c r="V48" s="3"/>
      <c r="W48" s="3"/>
      <c r="X48" s="3"/>
      <c r="Y48" s="3"/>
      <c r="Z48" s="3"/>
      <c r="AA48" s="3"/>
    </row>
    <row r="49" spans="1:27" ht="14.25" customHeight="1">
      <c r="A49" s="2">
        <v>46178</v>
      </c>
      <c r="B49" s="3" t="s">
        <v>15</v>
      </c>
      <c r="C49" s="3" t="s">
        <v>33</v>
      </c>
      <c r="D49" s="3" t="s">
        <v>34</v>
      </c>
      <c r="E49" s="3" t="s">
        <v>242</v>
      </c>
      <c r="F49" s="3"/>
      <c r="G49" s="3" t="s">
        <v>19</v>
      </c>
      <c r="H49" s="3"/>
      <c r="I49" s="3" t="s">
        <v>20</v>
      </c>
      <c r="J49" s="3"/>
      <c r="K49" s="3" t="s">
        <v>28</v>
      </c>
      <c r="L49" s="3" t="s">
        <v>28</v>
      </c>
      <c r="M49" s="3" t="s">
        <v>243</v>
      </c>
      <c r="N49" s="3" t="s">
        <v>244</v>
      </c>
      <c r="O49" s="3" t="s">
        <v>245</v>
      </c>
      <c r="P49" s="3"/>
      <c r="Q49" s="3"/>
      <c r="R49" s="3"/>
      <c r="S49" s="3"/>
      <c r="T49" s="3"/>
      <c r="U49" s="3"/>
      <c r="V49" s="3"/>
      <c r="W49" s="3"/>
      <c r="X49" s="3"/>
      <c r="Y49" s="3"/>
      <c r="Z49" s="3"/>
      <c r="AA49" s="3"/>
    </row>
    <row r="50" spans="1:27" ht="14.25" customHeight="1">
      <c r="A50" s="2">
        <v>46178</v>
      </c>
      <c r="B50" s="3" t="s">
        <v>72</v>
      </c>
      <c r="C50" s="3" t="s">
        <v>73</v>
      </c>
      <c r="D50" s="3" t="s">
        <v>72</v>
      </c>
      <c r="E50" s="3" t="s">
        <v>246</v>
      </c>
      <c r="F50" s="3"/>
      <c r="G50" s="3" t="s">
        <v>19</v>
      </c>
      <c r="H50" s="3"/>
      <c r="I50" s="3" t="s">
        <v>45</v>
      </c>
      <c r="J50" s="3"/>
      <c r="K50" s="3" t="s">
        <v>28</v>
      </c>
      <c r="L50" s="3" t="s">
        <v>28</v>
      </c>
      <c r="M50" s="3" t="s">
        <v>247</v>
      </c>
      <c r="N50" s="3" t="s">
        <v>248</v>
      </c>
      <c r="O50" s="3" t="s">
        <v>249</v>
      </c>
      <c r="P50" s="3" t="s">
        <v>250</v>
      </c>
      <c r="Q50" s="3"/>
      <c r="R50" s="3"/>
      <c r="S50" s="3"/>
      <c r="T50" s="3"/>
      <c r="U50" s="3"/>
      <c r="V50" s="3"/>
      <c r="W50" s="3"/>
      <c r="X50" s="3"/>
      <c r="Y50" s="3"/>
      <c r="Z50" s="3"/>
      <c r="AA50" s="3"/>
    </row>
    <row r="51" spans="1:27" ht="14.25" customHeight="1">
      <c r="A51" s="2">
        <v>46178</v>
      </c>
      <c r="B51" s="3" t="s">
        <v>81</v>
      </c>
      <c r="C51" s="3" t="s">
        <v>50</v>
      </c>
      <c r="D51" s="3" t="s">
        <v>51</v>
      </c>
      <c r="E51" s="3" t="s">
        <v>251</v>
      </c>
      <c r="F51" s="3"/>
      <c r="G51" s="3" t="s">
        <v>19</v>
      </c>
      <c r="H51" s="3"/>
      <c r="I51" s="3" t="s">
        <v>45</v>
      </c>
      <c r="J51" s="3"/>
      <c r="K51" s="3" t="s">
        <v>28</v>
      </c>
      <c r="L51" s="3" t="s">
        <v>28</v>
      </c>
      <c r="M51" s="3" t="s">
        <v>252</v>
      </c>
      <c r="N51" s="3" t="s">
        <v>253</v>
      </c>
      <c r="O51" s="3" t="s">
        <v>254</v>
      </c>
      <c r="P51" s="3" t="s">
        <v>48</v>
      </c>
      <c r="Q51" s="3"/>
      <c r="R51" s="3"/>
      <c r="S51" s="3"/>
      <c r="T51" s="3"/>
      <c r="U51" s="3"/>
      <c r="V51" s="3"/>
      <c r="W51" s="3"/>
      <c r="X51" s="3"/>
      <c r="Y51" s="3"/>
      <c r="Z51" s="3"/>
      <c r="AA51" s="3"/>
    </row>
    <row r="52" spans="1:27" ht="14.25" customHeight="1">
      <c r="A52" s="2">
        <v>46178</v>
      </c>
      <c r="B52" s="3" t="s">
        <v>15</v>
      </c>
      <c r="C52" s="3" t="s">
        <v>39</v>
      </c>
      <c r="D52" s="3" t="s">
        <v>57</v>
      </c>
      <c r="E52" s="3" t="s">
        <v>255</v>
      </c>
      <c r="F52" s="3"/>
      <c r="G52" s="3" t="s">
        <v>19</v>
      </c>
      <c r="H52" s="3"/>
      <c r="I52" s="3" t="s">
        <v>45</v>
      </c>
      <c r="J52" s="3"/>
      <c r="K52" s="3" t="s">
        <v>21</v>
      </c>
      <c r="L52" s="3" t="s">
        <v>28</v>
      </c>
      <c r="M52" s="3" t="s">
        <v>256</v>
      </c>
      <c r="N52" s="3" t="s">
        <v>257</v>
      </c>
      <c r="O52" s="3" t="s">
        <v>258</v>
      </c>
      <c r="P52" s="3" t="s">
        <v>259</v>
      </c>
      <c r="Q52" s="3"/>
      <c r="R52" s="3"/>
      <c r="S52" s="3"/>
      <c r="T52" s="3"/>
      <c r="U52" s="3"/>
      <c r="V52" s="3"/>
      <c r="W52" s="3"/>
      <c r="X52" s="3"/>
      <c r="Y52" s="3"/>
      <c r="Z52" s="3"/>
      <c r="AA52" s="3"/>
    </row>
    <row r="53" spans="1:27" ht="14.25" customHeight="1">
      <c r="A53" s="2">
        <v>46178</v>
      </c>
      <c r="B53" s="3" t="s">
        <v>72</v>
      </c>
      <c r="C53" s="3" t="s">
        <v>73</v>
      </c>
      <c r="D53" s="3" t="s">
        <v>72</v>
      </c>
      <c r="E53" s="3" t="s">
        <v>260</v>
      </c>
      <c r="F53" s="3"/>
      <c r="G53" s="3" t="s">
        <v>19</v>
      </c>
      <c r="H53" s="3"/>
      <c r="I53" s="3" t="s">
        <v>45</v>
      </c>
      <c r="J53" s="3"/>
      <c r="K53" s="3" t="s">
        <v>21</v>
      </c>
      <c r="L53" s="3" t="s">
        <v>21</v>
      </c>
      <c r="M53" s="3" t="s">
        <v>261</v>
      </c>
      <c r="N53" s="3" t="s">
        <v>262</v>
      </c>
      <c r="O53" s="3" t="s">
        <v>263</v>
      </c>
      <c r="P53" s="3" t="s">
        <v>264</v>
      </c>
      <c r="Q53" s="3"/>
      <c r="R53" s="3"/>
      <c r="S53" s="3"/>
      <c r="T53" s="3"/>
      <c r="U53" s="3"/>
      <c r="V53" s="3"/>
      <c r="W53" s="3"/>
      <c r="X53" s="3"/>
      <c r="Y53" s="3"/>
      <c r="Z53" s="3"/>
      <c r="AA53" s="3"/>
    </row>
    <row r="54" spans="1:27" ht="14.25" customHeight="1">
      <c r="A54" s="2">
        <v>46178</v>
      </c>
      <c r="B54" s="3" t="s">
        <v>15</v>
      </c>
      <c r="C54" s="3" t="s">
        <v>16</v>
      </c>
      <c r="D54" s="3" t="s">
        <v>105</v>
      </c>
      <c r="E54" s="3" t="s">
        <v>265</v>
      </c>
      <c r="F54" s="3"/>
      <c r="G54" s="3" t="s">
        <v>19</v>
      </c>
      <c r="H54" s="3"/>
      <c r="I54" s="3" t="s">
        <v>20</v>
      </c>
      <c r="J54" s="3"/>
      <c r="K54" s="3" t="s">
        <v>21</v>
      </c>
      <c r="L54" s="3" t="s">
        <v>21</v>
      </c>
      <c r="M54" s="3" t="s">
        <v>266</v>
      </c>
      <c r="N54" s="3" t="s">
        <v>267</v>
      </c>
      <c r="O54" s="3" t="s">
        <v>268</v>
      </c>
      <c r="P54" s="3" t="s">
        <v>30</v>
      </c>
      <c r="Q54" s="3"/>
      <c r="R54" s="3"/>
      <c r="S54" s="3"/>
      <c r="T54" s="3"/>
      <c r="U54" s="3"/>
      <c r="V54" s="3"/>
      <c r="W54" s="3"/>
      <c r="X54" s="3"/>
      <c r="Y54" s="3"/>
      <c r="Z54" s="3"/>
      <c r="AA54" s="3"/>
    </row>
    <row r="55" spans="1:27" ht="14.25" customHeight="1">
      <c r="A55" s="2">
        <v>46178</v>
      </c>
      <c r="B55" s="3" t="s">
        <v>72</v>
      </c>
      <c r="C55" s="3" t="s">
        <v>73</v>
      </c>
      <c r="D55" s="3" t="s">
        <v>72</v>
      </c>
      <c r="E55" s="3" t="s">
        <v>269</v>
      </c>
      <c r="F55" s="3"/>
      <c r="G55" s="3" t="s">
        <v>19</v>
      </c>
      <c r="H55" s="3"/>
      <c r="I55" s="3" t="s">
        <v>45</v>
      </c>
      <c r="J55" s="3"/>
      <c r="K55" s="3" t="s">
        <v>21</v>
      </c>
      <c r="L55" s="3" t="s">
        <v>21</v>
      </c>
      <c r="M55" s="3" t="s">
        <v>270</v>
      </c>
      <c r="N55" s="3" t="s">
        <v>271</v>
      </c>
      <c r="O55" s="3" t="s">
        <v>272</v>
      </c>
      <c r="P55" s="3" t="s">
        <v>273</v>
      </c>
      <c r="Q55" s="3"/>
      <c r="R55" s="3"/>
      <c r="S55" s="3"/>
      <c r="T55" s="3"/>
      <c r="U55" s="3"/>
      <c r="V55" s="3"/>
      <c r="W55" s="3"/>
      <c r="X55" s="3"/>
      <c r="Y55" s="3"/>
      <c r="Z55" s="3"/>
      <c r="AA55" s="3"/>
    </row>
    <row r="56" spans="1:27" ht="14.25" customHeight="1">
      <c r="A56" s="2">
        <v>46178</v>
      </c>
      <c r="B56" s="3" t="s">
        <v>111</v>
      </c>
      <c r="C56" s="3" t="s">
        <v>112</v>
      </c>
      <c r="D56" s="3" t="s">
        <v>113</v>
      </c>
      <c r="E56" s="3" t="s">
        <v>274</v>
      </c>
      <c r="F56" s="3"/>
      <c r="G56" s="3" t="s">
        <v>19</v>
      </c>
      <c r="H56" s="3"/>
      <c r="I56" s="3" t="s">
        <v>20</v>
      </c>
      <c r="J56" s="3"/>
      <c r="K56" s="3" t="s">
        <v>28</v>
      </c>
      <c r="L56" s="3" t="s">
        <v>28</v>
      </c>
      <c r="M56" s="3" t="s">
        <v>275</v>
      </c>
      <c r="N56" s="3" t="s">
        <v>276</v>
      </c>
      <c r="O56" s="3" t="s">
        <v>277</v>
      </c>
      <c r="P56" s="3" t="s">
        <v>278</v>
      </c>
      <c r="Q56" s="3"/>
      <c r="R56" s="3"/>
      <c r="S56" s="3"/>
      <c r="T56" s="3"/>
      <c r="U56" s="3"/>
      <c r="V56" s="3"/>
      <c r="W56" s="3"/>
      <c r="X56" s="3"/>
      <c r="Y56" s="3"/>
      <c r="Z56" s="3"/>
      <c r="AA56" s="3"/>
    </row>
    <row r="57" spans="1:27" ht="14.25" customHeight="1">
      <c r="A57" s="2">
        <v>46178</v>
      </c>
      <c r="B57" s="3" t="s">
        <v>111</v>
      </c>
      <c r="C57" s="3" t="s">
        <v>112</v>
      </c>
      <c r="D57" s="3" t="s">
        <v>113</v>
      </c>
      <c r="E57" s="3" t="s">
        <v>279</v>
      </c>
      <c r="F57" s="3"/>
      <c r="G57" s="3" t="s">
        <v>19</v>
      </c>
      <c r="H57" s="3"/>
      <c r="I57" s="3" t="s">
        <v>20</v>
      </c>
      <c r="J57" s="3"/>
      <c r="K57" s="3" t="s">
        <v>21</v>
      </c>
      <c r="L57" s="3" t="s">
        <v>28</v>
      </c>
      <c r="M57" s="3" t="s">
        <v>280</v>
      </c>
      <c r="N57" s="3" t="s">
        <v>281</v>
      </c>
      <c r="O57" s="3" t="s">
        <v>282</v>
      </c>
      <c r="P57" s="3" t="s">
        <v>283</v>
      </c>
      <c r="Q57" s="3"/>
      <c r="R57" s="3"/>
      <c r="S57" s="3"/>
      <c r="T57" s="3"/>
      <c r="U57" s="3"/>
      <c r="V57" s="3"/>
      <c r="W57" s="3"/>
      <c r="X57" s="3"/>
      <c r="Y57" s="3"/>
      <c r="Z57" s="3"/>
      <c r="AA57" s="3"/>
    </row>
    <row r="58" spans="1:27" ht="14.25" customHeight="1">
      <c r="A58" s="2">
        <v>46178</v>
      </c>
      <c r="B58" s="3" t="s">
        <v>15</v>
      </c>
      <c r="C58" s="3" t="s">
        <v>39</v>
      </c>
      <c r="D58" s="3" t="s">
        <v>15</v>
      </c>
      <c r="E58" s="3" t="s">
        <v>284</v>
      </c>
      <c r="F58" s="3"/>
      <c r="G58" s="3" t="s">
        <v>19</v>
      </c>
      <c r="H58" s="3"/>
      <c r="I58" s="3" t="s">
        <v>20</v>
      </c>
      <c r="J58" s="3"/>
      <c r="K58" s="3" t="s">
        <v>21</v>
      </c>
      <c r="L58" s="3" t="s">
        <v>21</v>
      </c>
      <c r="M58" s="3" t="s">
        <v>285</v>
      </c>
      <c r="N58" s="3" t="s">
        <v>286</v>
      </c>
      <c r="O58" s="3" t="s">
        <v>100</v>
      </c>
      <c r="P58" s="3" t="s">
        <v>287</v>
      </c>
      <c r="Q58" s="3"/>
      <c r="R58" s="3"/>
      <c r="S58" s="3"/>
      <c r="T58" s="3"/>
      <c r="U58" s="3"/>
      <c r="V58" s="3"/>
      <c r="W58" s="3"/>
      <c r="X58" s="3"/>
      <c r="Y58" s="3"/>
      <c r="Z58" s="3"/>
      <c r="AA58" s="3"/>
    </row>
    <row r="59" spans="1:27" ht="14.25" customHeight="1">
      <c r="A59" s="2">
        <v>46178</v>
      </c>
      <c r="B59" s="3" t="s">
        <v>81</v>
      </c>
      <c r="C59" s="3" t="s">
        <v>82</v>
      </c>
      <c r="D59" s="3" t="s">
        <v>288</v>
      </c>
      <c r="E59" s="3" t="s">
        <v>289</v>
      </c>
      <c r="F59" s="3"/>
      <c r="G59" s="3" t="s">
        <v>19</v>
      </c>
      <c r="H59" s="3"/>
      <c r="I59" s="3" t="s">
        <v>20</v>
      </c>
      <c r="J59" s="3"/>
      <c r="K59" s="3" t="s">
        <v>21</v>
      </c>
      <c r="L59" s="3" t="s">
        <v>28</v>
      </c>
      <c r="M59" s="3" t="s">
        <v>290</v>
      </c>
      <c r="N59" s="3" t="s">
        <v>291</v>
      </c>
      <c r="O59" s="3" t="s">
        <v>292</v>
      </c>
      <c r="P59" s="3" t="s">
        <v>30</v>
      </c>
      <c r="Q59" s="3"/>
      <c r="R59" s="3"/>
      <c r="S59" s="3"/>
      <c r="T59" s="3"/>
      <c r="U59" s="3"/>
      <c r="V59" s="3"/>
      <c r="W59" s="3"/>
      <c r="X59" s="3"/>
      <c r="Y59" s="3"/>
      <c r="Z59" s="3"/>
      <c r="AA59" s="3"/>
    </row>
    <row r="60" spans="1:27" ht="14.25" customHeight="1">
      <c r="A60" s="2">
        <v>46178</v>
      </c>
      <c r="B60" s="3" t="s">
        <v>81</v>
      </c>
      <c r="C60" s="3" t="s">
        <v>82</v>
      </c>
      <c r="D60" s="3" t="s">
        <v>83</v>
      </c>
      <c r="E60" s="3" t="s">
        <v>293</v>
      </c>
      <c r="F60" s="3"/>
      <c r="G60" s="3" t="s">
        <v>19</v>
      </c>
      <c r="H60" s="3"/>
      <c r="I60" s="3" t="s">
        <v>20</v>
      </c>
      <c r="J60" s="3"/>
      <c r="K60" s="3" t="s">
        <v>28</v>
      </c>
      <c r="L60" s="3" t="s">
        <v>28</v>
      </c>
      <c r="M60" s="3" t="s">
        <v>294</v>
      </c>
      <c r="N60" s="3" t="s">
        <v>295</v>
      </c>
      <c r="O60" s="3" t="s">
        <v>296</v>
      </c>
      <c r="P60" s="3" t="s">
        <v>297</v>
      </c>
      <c r="Q60" s="3"/>
      <c r="R60" s="3"/>
      <c r="S60" s="3"/>
      <c r="T60" s="3"/>
      <c r="U60" s="3"/>
      <c r="V60" s="3"/>
      <c r="W60" s="3"/>
      <c r="X60" s="3"/>
      <c r="Y60" s="3"/>
      <c r="Z60" s="3"/>
      <c r="AA60" s="3"/>
    </row>
    <row r="61" spans="1:27" ht="14.25" customHeight="1">
      <c r="A61" s="2">
        <v>46178</v>
      </c>
      <c r="B61" s="3" t="s">
        <v>81</v>
      </c>
      <c r="C61" s="3" t="s">
        <v>50</v>
      </c>
      <c r="D61" s="3" t="s">
        <v>196</v>
      </c>
      <c r="E61" s="3" t="s">
        <v>298</v>
      </c>
      <c r="F61" s="3"/>
      <c r="G61" s="3" t="s">
        <v>19</v>
      </c>
      <c r="H61" s="3"/>
      <c r="I61" s="3" t="s">
        <v>20</v>
      </c>
      <c r="J61" s="3"/>
      <c r="K61" s="3" t="s">
        <v>28</v>
      </c>
      <c r="L61" s="3" t="s">
        <v>28</v>
      </c>
      <c r="M61" s="3" t="s">
        <v>299</v>
      </c>
      <c r="N61" s="3" t="s">
        <v>300</v>
      </c>
      <c r="O61" s="3" t="s">
        <v>300</v>
      </c>
      <c r="P61" s="3" t="s">
        <v>300</v>
      </c>
      <c r="Q61" s="3"/>
      <c r="R61" s="3"/>
      <c r="S61" s="3"/>
      <c r="T61" s="3"/>
      <c r="U61" s="3"/>
      <c r="V61" s="3"/>
      <c r="W61" s="3"/>
      <c r="X61" s="3"/>
      <c r="Y61" s="3"/>
      <c r="Z61" s="3"/>
      <c r="AA61" s="3"/>
    </row>
    <row r="62" spans="1:27" ht="14.25" customHeight="1">
      <c r="A62" s="2">
        <v>46178</v>
      </c>
      <c r="B62" s="3" t="s">
        <v>72</v>
      </c>
      <c r="C62" s="3" t="s">
        <v>73</v>
      </c>
      <c r="D62" s="3" t="s">
        <v>72</v>
      </c>
      <c r="E62" s="3" t="s">
        <v>301</v>
      </c>
      <c r="F62" s="3"/>
      <c r="G62" s="3" t="s">
        <v>19</v>
      </c>
      <c r="H62" s="3"/>
      <c r="I62" s="3" t="s">
        <v>45</v>
      </c>
      <c r="J62" s="3"/>
      <c r="K62" s="3" t="s">
        <v>21</v>
      </c>
      <c r="L62" s="3" t="s">
        <v>28</v>
      </c>
      <c r="M62" s="3" t="s">
        <v>302</v>
      </c>
      <c r="N62" s="3" t="s">
        <v>303</v>
      </c>
      <c r="O62" s="3" t="s">
        <v>304</v>
      </c>
      <c r="P62" s="3" t="s">
        <v>305</v>
      </c>
      <c r="Q62" s="3"/>
      <c r="R62" s="3"/>
      <c r="S62" s="3"/>
      <c r="T62" s="3"/>
      <c r="U62" s="3"/>
      <c r="V62" s="3"/>
      <c r="W62" s="3"/>
      <c r="X62" s="3"/>
      <c r="Y62" s="3"/>
      <c r="Z62" s="3"/>
      <c r="AA62" s="3"/>
    </row>
    <row r="63" spans="1:27" ht="14.25" customHeight="1">
      <c r="A63" s="2">
        <v>46178</v>
      </c>
      <c r="B63" s="3" t="s">
        <v>15</v>
      </c>
      <c r="C63" s="3" t="s">
        <v>33</v>
      </c>
      <c r="D63" s="3" t="s">
        <v>34</v>
      </c>
      <c r="E63" s="3" t="s">
        <v>306</v>
      </c>
      <c r="F63" s="3"/>
      <c r="G63" s="3" t="s">
        <v>19</v>
      </c>
      <c r="H63" s="3"/>
      <c r="I63" s="3" t="s">
        <v>20</v>
      </c>
      <c r="J63" s="3"/>
      <c r="K63" s="3" t="s">
        <v>28</v>
      </c>
      <c r="L63" s="3" t="s">
        <v>21</v>
      </c>
      <c r="M63" s="3" t="s">
        <v>307</v>
      </c>
      <c r="N63" s="3" t="s">
        <v>308</v>
      </c>
      <c r="O63" s="3" t="s">
        <v>309</v>
      </c>
      <c r="P63" s="3" t="s">
        <v>310</v>
      </c>
      <c r="Q63" s="3"/>
      <c r="R63" s="3"/>
      <c r="S63" s="3"/>
      <c r="T63" s="3"/>
      <c r="U63" s="3"/>
      <c r="V63" s="3"/>
      <c r="W63" s="3"/>
      <c r="X63" s="3"/>
      <c r="Y63" s="3"/>
      <c r="Z63" s="3"/>
      <c r="AA63" s="3"/>
    </row>
    <row r="64" spans="1:27" ht="14.25" customHeight="1">
      <c r="A64" s="2">
        <v>46178</v>
      </c>
      <c r="B64" s="3" t="s">
        <v>15</v>
      </c>
      <c r="C64" s="3" t="s">
        <v>39</v>
      </c>
      <c r="D64" s="3" t="s">
        <v>15</v>
      </c>
      <c r="E64" s="3" t="s">
        <v>311</v>
      </c>
      <c r="F64" s="3"/>
      <c r="G64" s="3" t="s">
        <v>19</v>
      </c>
      <c r="H64" s="3"/>
      <c r="I64" s="3" t="s">
        <v>20</v>
      </c>
      <c r="J64" s="3"/>
      <c r="K64" s="3" t="s">
        <v>28</v>
      </c>
      <c r="L64" s="3" t="s">
        <v>28</v>
      </c>
      <c r="M64" s="3" t="s">
        <v>312</v>
      </c>
      <c r="N64" s="3" t="s">
        <v>313</v>
      </c>
      <c r="O64" s="3" t="s">
        <v>314</v>
      </c>
      <c r="P64" s="3" t="s">
        <v>315</v>
      </c>
      <c r="Q64" s="3"/>
      <c r="R64" s="3"/>
      <c r="S64" s="3"/>
      <c r="T64" s="3"/>
      <c r="U64" s="3"/>
      <c r="V64" s="3"/>
      <c r="W64" s="3"/>
      <c r="X64" s="3"/>
      <c r="Y64" s="3"/>
      <c r="Z64" s="3"/>
      <c r="AA64" s="3"/>
    </row>
    <row r="65" spans="1:27" ht="14.25" customHeight="1">
      <c r="A65" s="2">
        <v>46178</v>
      </c>
      <c r="B65" s="3" t="s">
        <v>15</v>
      </c>
      <c r="C65" s="3" t="s">
        <v>39</v>
      </c>
      <c r="D65" s="3" t="s">
        <v>57</v>
      </c>
      <c r="E65" s="3" t="s">
        <v>316</v>
      </c>
      <c r="F65" s="3"/>
      <c r="G65" s="3" t="s">
        <v>19</v>
      </c>
      <c r="H65" s="3"/>
      <c r="I65" s="3" t="s">
        <v>45</v>
      </c>
      <c r="J65" s="3"/>
      <c r="K65" s="3" t="s">
        <v>21</v>
      </c>
      <c r="L65" s="3" t="s">
        <v>28</v>
      </c>
      <c r="M65" s="3" t="s">
        <v>317</v>
      </c>
      <c r="N65" s="3" t="s">
        <v>318</v>
      </c>
      <c r="O65" s="3" t="s">
        <v>319</v>
      </c>
      <c r="P65" s="3" t="s">
        <v>320</v>
      </c>
      <c r="Q65" s="3"/>
      <c r="R65" s="3"/>
      <c r="S65" s="3"/>
      <c r="T65" s="3"/>
      <c r="U65" s="3"/>
      <c r="V65" s="3"/>
      <c r="W65" s="3"/>
      <c r="X65" s="3"/>
      <c r="Y65" s="3"/>
      <c r="Z65" s="3"/>
      <c r="AA65" s="3"/>
    </row>
    <row r="66" spans="1:27" ht="14.25" customHeight="1">
      <c r="A66" s="2">
        <v>46178</v>
      </c>
      <c r="B66" s="3" t="s">
        <v>15</v>
      </c>
      <c r="C66" s="3" t="s">
        <v>39</v>
      </c>
      <c r="D66" s="3" t="s">
        <v>57</v>
      </c>
      <c r="E66" s="3" t="s">
        <v>321</v>
      </c>
      <c r="F66" s="3"/>
      <c r="G66" s="3" t="s">
        <v>19</v>
      </c>
      <c r="H66" s="3"/>
      <c r="I66" s="3" t="s">
        <v>45</v>
      </c>
      <c r="J66" s="3"/>
      <c r="K66" s="3" t="s">
        <v>21</v>
      </c>
      <c r="L66" s="3" t="s">
        <v>28</v>
      </c>
      <c r="M66" s="3" t="s">
        <v>322</v>
      </c>
      <c r="N66" s="3" t="s">
        <v>323</v>
      </c>
      <c r="O66" s="3" t="s">
        <v>324</v>
      </c>
      <c r="P66" s="3" t="s">
        <v>30</v>
      </c>
      <c r="Q66" s="3"/>
      <c r="R66" s="3"/>
      <c r="S66" s="3"/>
      <c r="T66" s="3"/>
      <c r="U66" s="3"/>
      <c r="V66" s="3"/>
      <c r="W66" s="3"/>
      <c r="X66" s="3"/>
      <c r="Y66" s="3"/>
      <c r="Z66" s="3"/>
      <c r="AA66" s="3"/>
    </row>
    <row r="67" spans="1:27" ht="14.25" customHeight="1">
      <c r="A67" s="2">
        <v>46178</v>
      </c>
      <c r="B67" s="3" t="s">
        <v>15</v>
      </c>
      <c r="C67" s="3" t="s">
        <v>16</v>
      </c>
      <c r="D67" s="3" t="s">
        <v>17</v>
      </c>
      <c r="E67" s="3" t="s">
        <v>325</v>
      </c>
      <c r="F67" s="3"/>
      <c r="G67" s="3" t="s">
        <v>19</v>
      </c>
      <c r="H67" s="3"/>
      <c r="I67" s="3" t="s">
        <v>45</v>
      </c>
      <c r="J67" s="3"/>
      <c r="K67" s="3" t="s">
        <v>28</v>
      </c>
      <c r="L67" s="3" t="s">
        <v>28</v>
      </c>
      <c r="M67" s="3" t="s">
        <v>326</v>
      </c>
      <c r="N67" s="3" t="s">
        <v>327</v>
      </c>
      <c r="O67" s="3" t="s">
        <v>328</v>
      </c>
      <c r="P67" s="3" t="s">
        <v>30</v>
      </c>
      <c r="Q67" s="3"/>
      <c r="R67" s="3"/>
      <c r="S67" s="3"/>
      <c r="T67" s="3"/>
      <c r="U67" s="3"/>
      <c r="V67" s="3"/>
      <c r="W67" s="3"/>
      <c r="X67" s="3"/>
      <c r="Y67" s="3"/>
      <c r="Z67" s="3"/>
      <c r="AA67" s="3"/>
    </row>
    <row r="68" spans="1:27" ht="14.25" customHeight="1">
      <c r="A68" s="2">
        <v>46178</v>
      </c>
      <c r="B68" s="3" t="s">
        <v>111</v>
      </c>
      <c r="C68" s="3" t="s">
        <v>112</v>
      </c>
      <c r="D68" s="3" t="s">
        <v>113</v>
      </c>
      <c r="E68" s="3" t="s">
        <v>329</v>
      </c>
      <c r="F68" s="3"/>
      <c r="G68" s="3" t="s">
        <v>19</v>
      </c>
      <c r="H68" s="3"/>
      <c r="I68" s="3" t="s">
        <v>20</v>
      </c>
      <c r="J68" s="3"/>
      <c r="K68" s="3" t="s">
        <v>21</v>
      </c>
      <c r="L68" s="3" t="s">
        <v>21</v>
      </c>
      <c r="M68" s="3" t="s">
        <v>330</v>
      </c>
      <c r="N68" s="3" t="s">
        <v>331</v>
      </c>
      <c r="O68" s="3" t="s">
        <v>332</v>
      </c>
      <c r="P68" s="3" t="s">
        <v>333</v>
      </c>
      <c r="Q68" s="3"/>
      <c r="R68" s="3"/>
      <c r="S68" s="3"/>
      <c r="T68" s="3"/>
      <c r="U68" s="3"/>
      <c r="V68" s="3"/>
      <c r="W68" s="3"/>
      <c r="X68" s="3"/>
      <c r="Y68" s="3"/>
      <c r="Z68" s="3"/>
      <c r="AA68" s="3"/>
    </row>
    <row r="69" spans="1:27" ht="14.25" customHeight="1">
      <c r="A69" s="2">
        <v>46178</v>
      </c>
      <c r="B69" s="3" t="s">
        <v>72</v>
      </c>
      <c r="C69" s="3" t="s">
        <v>73</v>
      </c>
      <c r="D69" s="3" t="s">
        <v>72</v>
      </c>
      <c r="E69" s="3" t="s">
        <v>334</v>
      </c>
      <c r="F69" s="3"/>
      <c r="G69" s="3" t="s">
        <v>19</v>
      </c>
      <c r="H69" s="3"/>
      <c r="I69" s="3" t="s">
        <v>45</v>
      </c>
      <c r="J69" s="3"/>
      <c r="K69" s="3" t="s">
        <v>21</v>
      </c>
      <c r="L69" s="3" t="s">
        <v>28</v>
      </c>
      <c r="M69" s="3" t="s">
        <v>335</v>
      </c>
      <c r="N69" s="3" t="s">
        <v>336</v>
      </c>
      <c r="O69" s="3" t="s">
        <v>337</v>
      </c>
      <c r="P69" s="3" t="s">
        <v>338</v>
      </c>
      <c r="Q69" s="3"/>
      <c r="R69" s="3"/>
      <c r="S69" s="3"/>
      <c r="T69" s="3"/>
      <c r="U69" s="3"/>
      <c r="V69" s="3"/>
      <c r="W69" s="3"/>
      <c r="X69" s="3"/>
      <c r="Y69" s="3"/>
      <c r="Z69" s="3"/>
      <c r="AA69" s="3"/>
    </row>
    <row r="70" spans="1:27" ht="14.25" customHeight="1">
      <c r="A70" s="2">
        <v>46178</v>
      </c>
      <c r="B70" s="3" t="s">
        <v>81</v>
      </c>
      <c r="C70" s="3" t="s">
        <v>50</v>
      </c>
      <c r="D70" s="3" t="s">
        <v>51</v>
      </c>
      <c r="E70" s="3" t="s">
        <v>339</v>
      </c>
      <c r="F70" s="3"/>
      <c r="G70" s="3" t="s">
        <v>19</v>
      </c>
      <c r="H70" s="3"/>
      <c r="I70" s="3" t="s">
        <v>20</v>
      </c>
      <c r="J70" s="3"/>
      <c r="K70" s="3" t="s">
        <v>21</v>
      </c>
      <c r="L70" s="3" t="s">
        <v>21</v>
      </c>
      <c r="M70" s="3" t="s">
        <v>340</v>
      </c>
      <c r="N70" s="3" t="s">
        <v>341</v>
      </c>
      <c r="O70" s="3" t="s">
        <v>342</v>
      </c>
      <c r="P70" s="3" t="s">
        <v>48</v>
      </c>
      <c r="Q70" s="3"/>
      <c r="R70" s="3"/>
      <c r="S70" s="3"/>
      <c r="T70" s="3"/>
      <c r="U70" s="3"/>
      <c r="V70" s="3"/>
      <c r="W70" s="3"/>
      <c r="X70" s="3"/>
      <c r="Y70" s="3"/>
      <c r="Z70" s="3"/>
      <c r="AA70" s="3"/>
    </row>
    <row r="71" spans="1:27" ht="14.25" customHeight="1">
      <c r="A71" s="2">
        <v>46178</v>
      </c>
      <c r="B71" s="3" t="s">
        <v>81</v>
      </c>
      <c r="C71" s="3" t="s">
        <v>50</v>
      </c>
      <c r="D71" s="3" t="s">
        <v>196</v>
      </c>
      <c r="E71" s="3" t="s">
        <v>343</v>
      </c>
      <c r="F71" s="3"/>
      <c r="G71" s="3" t="s">
        <v>19</v>
      </c>
      <c r="H71" s="3"/>
      <c r="I71" s="3" t="s">
        <v>20</v>
      </c>
      <c r="J71" s="3"/>
      <c r="K71" s="3" t="s">
        <v>28</v>
      </c>
      <c r="L71" s="3" t="s">
        <v>28</v>
      </c>
      <c r="M71" s="3" t="s">
        <v>344</v>
      </c>
      <c r="N71" s="3" t="s">
        <v>345</v>
      </c>
      <c r="O71" s="3" t="s">
        <v>346</v>
      </c>
      <c r="P71" s="3" t="s">
        <v>346</v>
      </c>
      <c r="Q71" s="3"/>
      <c r="R71" s="3"/>
      <c r="S71" s="3"/>
      <c r="T71" s="3"/>
      <c r="U71" s="3"/>
      <c r="V71" s="3"/>
      <c r="W71" s="3"/>
      <c r="X71" s="3"/>
      <c r="Y71" s="3"/>
      <c r="Z71" s="3"/>
      <c r="AA71" s="3"/>
    </row>
    <row r="72" spans="1:27" ht="14.25" customHeight="1">
      <c r="A72" s="2">
        <v>46178</v>
      </c>
      <c r="B72" s="3" t="s">
        <v>150</v>
      </c>
      <c r="C72" s="3" t="s">
        <v>151</v>
      </c>
      <c r="D72" s="3" t="s">
        <v>150</v>
      </c>
      <c r="E72" s="3" t="s">
        <v>347</v>
      </c>
      <c r="F72" s="3"/>
      <c r="G72" s="3" t="s">
        <v>19</v>
      </c>
      <c r="H72" s="3"/>
      <c r="I72" s="3" t="s">
        <v>45</v>
      </c>
      <c r="J72" s="3"/>
      <c r="K72" s="3" t="s">
        <v>28</v>
      </c>
      <c r="L72" s="3" t="s">
        <v>28</v>
      </c>
      <c r="M72" s="3" t="s">
        <v>348</v>
      </c>
      <c r="N72" s="3" t="s">
        <v>349</v>
      </c>
      <c r="O72" s="3" t="s">
        <v>48</v>
      </c>
      <c r="P72" s="3" t="s">
        <v>48</v>
      </c>
      <c r="Q72" s="3"/>
      <c r="R72" s="3"/>
      <c r="S72" s="3"/>
      <c r="T72" s="3"/>
      <c r="U72" s="3"/>
      <c r="V72" s="3"/>
      <c r="W72" s="3"/>
      <c r="X72" s="3"/>
      <c r="Y72" s="3"/>
      <c r="Z72" s="3"/>
      <c r="AA72" s="3"/>
    </row>
    <row r="73" spans="1:27" ht="14.25" customHeight="1">
      <c r="A73" s="2">
        <v>46178</v>
      </c>
      <c r="B73" s="3" t="s">
        <v>15</v>
      </c>
      <c r="C73" s="3" t="s">
        <v>16</v>
      </c>
      <c r="D73" s="3" t="s">
        <v>105</v>
      </c>
      <c r="E73" s="3" t="s">
        <v>350</v>
      </c>
      <c r="F73" s="3"/>
      <c r="G73" s="3" t="s">
        <v>19</v>
      </c>
      <c r="H73" s="3"/>
      <c r="I73" s="3" t="s">
        <v>20</v>
      </c>
      <c r="J73" s="3"/>
      <c r="K73" s="3" t="s">
        <v>28</v>
      </c>
      <c r="L73" s="3" t="s">
        <v>28</v>
      </c>
      <c r="M73" s="3" t="s">
        <v>351</v>
      </c>
      <c r="N73" s="3" t="s">
        <v>352</v>
      </c>
      <c r="O73" s="3" t="s">
        <v>353</v>
      </c>
      <c r="P73" s="3"/>
      <c r="Q73" s="3"/>
      <c r="R73" s="3"/>
      <c r="S73" s="3"/>
      <c r="T73" s="3"/>
      <c r="U73" s="3"/>
      <c r="V73" s="3"/>
      <c r="W73" s="3"/>
      <c r="X73" s="3"/>
      <c r="Y73" s="3"/>
      <c r="Z73" s="3"/>
      <c r="AA73" s="3"/>
    </row>
    <row r="74" spans="1:27" ht="14.25" customHeight="1">
      <c r="A74" s="2">
        <v>46178</v>
      </c>
      <c r="B74" s="3" t="s">
        <v>15</v>
      </c>
      <c r="C74" s="3" t="s">
        <v>16</v>
      </c>
      <c r="D74" s="3" t="s">
        <v>17</v>
      </c>
      <c r="E74" s="3" t="s">
        <v>354</v>
      </c>
      <c r="F74" s="3"/>
      <c r="G74" s="3" t="s">
        <v>19</v>
      </c>
      <c r="H74" s="3"/>
      <c r="I74" s="3" t="s">
        <v>20</v>
      </c>
      <c r="J74" s="3"/>
      <c r="K74" s="3" t="s">
        <v>21</v>
      </c>
      <c r="L74" s="3" t="s">
        <v>21</v>
      </c>
      <c r="M74" s="3" t="s">
        <v>355</v>
      </c>
      <c r="N74" s="3" t="s">
        <v>356</v>
      </c>
      <c r="O74" s="3" t="s">
        <v>357</v>
      </c>
      <c r="P74" s="3" t="s">
        <v>30</v>
      </c>
      <c r="Q74" s="3"/>
      <c r="R74" s="3"/>
      <c r="S74" s="3"/>
      <c r="T74" s="3"/>
      <c r="U74" s="3"/>
      <c r="V74" s="3"/>
      <c r="W74" s="3"/>
      <c r="X74" s="3"/>
      <c r="Y74" s="3"/>
      <c r="Z74" s="3"/>
      <c r="AA74" s="3"/>
    </row>
    <row r="75" spans="1:27" ht="14.25" customHeight="1">
      <c r="A75" s="2">
        <v>46178</v>
      </c>
      <c r="B75" s="3" t="s">
        <v>15</v>
      </c>
      <c r="C75" s="3" t="s">
        <v>16</v>
      </c>
      <c r="D75" s="3" t="s">
        <v>17</v>
      </c>
      <c r="E75" s="3" t="s">
        <v>358</v>
      </c>
      <c r="F75" s="3"/>
      <c r="G75" s="3" t="s">
        <v>19</v>
      </c>
      <c r="H75" s="3"/>
      <c r="I75" s="3" t="s">
        <v>20</v>
      </c>
      <c r="J75" s="3"/>
      <c r="K75" s="3" t="s">
        <v>21</v>
      </c>
      <c r="L75" s="3" t="s">
        <v>21</v>
      </c>
      <c r="M75" s="3" t="s">
        <v>359</v>
      </c>
      <c r="N75" s="3" t="s">
        <v>360</v>
      </c>
      <c r="O75" s="3" t="s">
        <v>361</v>
      </c>
      <c r="P75" s="3" t="s">
        <v>48</v>
      </c>
      <c r="Q75" s="3"/>
      <c r="R75" s="3"/>
      <c r="S75" s="3"/>
      <c r="T75" s="3"/>
      <c r="U75" s="3"/>
      <c r="V75" s="3"/>
      <c r="W75" s="3"/>
      <c r="X75" s="3"/>
      <c r="Y75" s="3"/>
      <c r="Z75" s="3"/>
      <c r="AA75" s="3"/>
    </row>
    <row r="76" spans="1:27" ht="14.25" customHeight="1">
      <c r="A76" s="2">
        <v>46178</v>
      </c>
      <c r="B76" s="3" t="s">
        <v>15</v>
      </c>
      <c r="C76" s="3" t="s">
        <v>16</v>
      </c>
      <c r="D76" s="3" t="s">
        <v>105</v>
      </c>
      <c r="E76" s="3" t="s">
        <v>362</v>
      </c>
      <c r="F76" s="3"/>
      <c r="G76" s="3" t="s">
        <v>107</v>
      </c>
      <c r="H76" s="3"/>
      <c r="I76" s="3" t="s">
        <v>20</v>
      </c>
      <c r="J76" s="3"/>
      <c r="K76" s="3" t="s">
        <v>21</v>
      </c>
      <c r="L76" s="3" t="s">
        <v>21</v>
      </c>
      <c r="M76" s="3" t="s">
        <v>363</v>
      </c>
      <c r="N76" s="3" t="s">
        <v>364</v>
      </c>
      <c r="O76" s="3" t="s">
        <v>365</v>
      </c>
      <c r="P76" s="3" t="s">
        <v>48</v>
      </c>
      <c r="Q76" s="3"/>
      <c r="R76" s="3"/>
      <c r="S76" s="3"/>
      <c r="T76" s="3"/>
      <c r="U76" s="3"/>
      <c r="V76" s="3"/>
      <c r="W76" s="3"/>
      <c r="X76" s="3"/>
      <c r="Y76" s="3"/>
      <c r="Z76" s="3"/>
      <c r="AA76" s="3"/>
    </row>
    <row r="77" spans="1:27" ht="14.25" customHeight="1">
      <c r="A77" s="2">
        <v>46178</v>
      </c>
      <c r="B77" s="3" t="s">
        <v>111</v>
      </c>
      <c r="C77" s="3" t="s">
        <v>112</v>
      </c>
      <c r="D77" s="3" t="s">
        <v>113</v>
      </c>
      <c r="E77" s="3" t="s">
        <v>366</v>
      </c>
      <c r="F77" s="3"/>
      <c r="G77" s="3" t="s">
        <v>19</v>
      </c>
      <c r="H77" s="3"/>
      <c r="I77" s="3" t="s">
        <v>20</v>
      </c>
      <c r="J77" s="3"/>
      <c r="K77" s="3" t="s">
        <v>28</v>
      </c>
      <c r="L77" s="3" t="s">
        <v>28</v>
      </c>
      <c r="M77" s="3" t="s">
        <v>367</v>
      </c>
      <c r="N77" s="3" t="s">
        <v>368</v>
      </c>
      <c r="O77" s="3" t="s">
        <v>369</v>
      </c>
      <c r="P77" s="3" t="s">
        <v>370</v>
      </c>
      <c r="Q77" s="3"/>
      <c r="R77" s="3"/>
      <c r="S77" s="3"/>
      <c r="T77" s="3"/>
      <c r="U77" s="3"/>
      <c r="V77" s="3"/>
      <c r="W77" s="3"/>
      <c r="X77" s="3"/>
      <c r="Y77" s="3"/>
      <c r="Z77" s="3"/>
      <c r="AA77" s="3"/>
    </row>
    <row r="78" spans="1:27" ht="14.25" customHeight="1">
      <c r="A78" s="2">
        <v>46178</v>
      </c>
      <c r="B78" s="3" t="s">
        <v>15</v>
      </c>
      <c r="C78" s="3" t="s">
        <v>39</v>
      </c>
      <c r="D78" s="3" t="s">
        <v>57</v>
      </c>
      <c r="E78" s="3" t="s">
        <v>371</v>
      </c>
      <c r="F78" s="3"/>
      <c r="G78" s="3" t="s">
        <v>19</v>
      </c>
      <c r="H78" s="3"/>
      <c r="I78" s="3" t="s">
        <v>45</v>
      </c>
      <c r="J78" s="3"/>
      <c r="K78" s="3" t="s">
        <v>28</v>
      </c>
      <c r="L78" s="3" t="s">
        <v>28</v>
      </c>
      <c r="M78" s="3" t="s">
        <v>372</v>
      </c>
      <c r="N78" s="3" t="s">
        <v>373</v>
      </c>
      <c r="O78" s="3" t="s">
        <v>374</v>
      </c>
      <c r="P78" s="3" t="s">
        <v>48</v>
      </c>
      <c r="Q78" s="3"/>
      <c r="R78" s="3"/>
      <c r="S78" s="3"/>
      <c r="T78" s="3"/>
      <c r="U78" s="3"/>
      <c r="V78" s="3"/>
      <c r="W78" s="3"/>
      <c r="X78" s="3"/>
      <c r="Y78" s="3"/>
      <c r="Z78" s="3"/>
      <c r="AA78" s="3"/>
    </row>
    <row r="79" spans="1:27" ht="14.25" customHeight="1">
      <c r="A79" s="2">
        <v>46178</v>
      </c>
      <c r="B79" s="3" t="s">
        <v>111</v>
      </c>
      <c r="C79" s="3" t="s">
        <v>112</v>
      </c>
      <c r="D79" s="3" t="s">
        <v>113</v>
      </c>
      <c r="E79" s="3" t="s">
        <v>375</v>
      </c>
      <c r="F79" s="3"/>
      <c r="G79" s="3" t="s">
        <v>19</v>
      </c>
      <c r="H79" s="3"/>
      <c r="I79" s="3" t="s">
        <v>45</v>
      </c>
      <c r="J79" s="3"/>
      <c r="K79" s="3" t="s">
        <v>21</v>
      </c>
      <c r="L79" s="3" t="s">
        <v>21</v>
      </c>
      <c r="M79" s="3" t="s">
        <v>376</v>
      </c>
      <c r="N79" s="3" t="s">
        <v>377</v>
      </c>
      <c r="O79" s="3" t="s">
        <v>378</v>
      </c>
      <c r="P79" s="3" t="s">
        <v>379</v>
      </c>
      <c r="Q79" s="3"/>
      <c r="R79" s="3"/>
      <c r="S79" s="3"/>
      <c r="T79" s="3"/>
      <c r="U79" s="3"/>
      <c r="V79" s="3"/>
      <c r="W79" s="3"/>
      <c r="X79" s="3"/>
      <c r="Y79" s="3"/>
      <c r="Z79" s="3"/>
      <c r="AA79" s="3"/>
    </row>
    <row r="80" spans="1:27" ht="14.25" customHeight="1">
      <c r="A80" s="2">
        <v>46178</v>
      </c>
      <c r="B80" s="3" t="s">
        <v>15</v>
      </c>
      <c r="C80" s="3" t="s">
        <v>39</v>
      </c>
      <c r="D80" s="3" t="s">
        <v>67</v>
      </c>
      <c r="E80" s="3" t="s">
        <v>380</v>
      </c>
      <c r="F80" s="3"/>
      <c r="G80" s="3" t="s">
        <v>19</v>
      </c>
      <c r="H80" s="3"/>
      <c r="I80" s="3" t="s">
        <v>45</v>
      </c>
      <c r="J80" s="3"/>
      <c r="K80" s="3" t="s">
        <v>21</v>
      </c>
      <c r="L80" s="3" t="s">
        <v>21</v>
      </c>
      <c r="M80" s="3" t="s">
        <v>381</v>
      </c>
      <c r="N80" s="3" t="s">
        <v>382</v>
      </c>
      <c r="O80" s="3" t="s">
        <v>383</v>
      </c>
      <c r="P80" s="3"/>
      <c r="Q80" s="3"/>
      <c r="R80" s="3"/>
      <c r="S80" s="3"/>
      <c r="T80" s="3"/>
      <c r="U80" s="3"/>
      <c r="V80" s="3"/>
      <c r="W80" s="3"/>
      <c r="X80" s="3"/>
      <c r="Y80" s="3"/>
      <c r="Z80" s="3"/>
      <c r="AA80" s="3"/>
    </row>
    <row r="81" spans="1:27" ht="14.25" customHeight="1">
      <c r="A81" s="2">
        <v>46178</v>
      </c>
      <c r="B81" s="3" t="s">
        <v>15</v>
      </c>
      <c r="C81" s="3" t="s">
        <v>39</v>
      </c>
      <c r="D81" s="3" t="s">
        <v>15</v>
      </c>
      <c r="E81" s="3" t="s">
        <v>384</v>
      </c>
      <c r="F81" s="3"/>
      <c r="G81" s="3" t="s">
        <v>19</v>
      </c>
      <c r="H81" s="3"/>
      <c r="I81" s="3" t="s">
        <v>20</v>
      </c>
      <c r="J81" s="3"/>
      <c r="K81" s="3" t="s">
        <v>28</v>
      </c>
      <c r="L81" s="3" t="s">
        <v>28</v>
      </c>
      <c r="M81" s="3" t="s">
        <v>385</v>
      </c>
      <c r="N81" s="3" t="s">
        <v>386</v>
      </c>
      <c r="O81" s="3" t="s">
        <v>100</v>
      </c>
      <c r="P81" s="3" t="s">
        <v>48</v>
      </c>
      <c r="Q81" s="3"/>
      <c r="R81" s="3"/>
      <c r="S81" s="3"/>
      <c r="T81" s="3"/>
      <c r="U81" s="3"/>
      <c r="V81" s="3"/>
      <c r="W81" s="3"/>
      <c r="X81" s="3"/>
      <c r="Y81" s="3"/>
      <c r="Z81" s="3"/>
      <c r="AA81" s="3"/>
    </row>
    <row r="82" spans="1:27" ht="14.25" customHeight="1">
      <c r="A82" s="2">
        <v>46178</v>
      </c>
      <c r="B82" s="3" t="s">
        <v>72</v>
      </c>
      <c r="C82" s="3" t="s">
        <v>73</v>
      </c>
      <c r="D82" s="3" t="s">
        <v>72</v>
      </c>
      <c r="E82" s="3" t="s">
        <v>387</v>
      </c>
      <c r="F82" s="3"/>
      <c r="G82" s="3" t="s">
        <v>19</v>
      </c>
      <c r="H82" s="3"/>
      <c r="I82" s="3" t="s">
        <v>45</v>
      </c>
      <c r="J82" s="3"/>
      <c r="K82" s="3" t="s">
        <v>21</v>
      </c>
      <c r="L82" s="3" t="s">
        <v>21</v>
      </c>
      <c r="M82" s="3" t="s">
        <v>388</v>
      </c>
      <c r="N82" s="3" t="s">
        <v>389</v>
      </c>
      <c r="O82" s="3" t="s">
        <v>390</v>
      </c>
      <c r="P82" s="3" t="s">
        <v>391</v>
      </c>
      <c r="Q82" s="3"/>
      <c r="R82" s="3"/>
      <c r="S82" s="3"/>
      <c r="T82" s="3"/>
      <c r="U82" s="3"/>
      <c r="V82" s="3"/>
      <c r="W82" s="3"/>
      <c r="X82" s="3"/>
      <c r="Y82" s="3"/>
      <c r="Z82" s="3"/>
      <c r="AA82" s="3"/>
    </row>
    <row r="83" spans="1:27" ht="14.25" customHeight="1">
      <c r="A83" s="2">
        <v>46178</v>
      </c>
      <c r="B83" s="3" t="s">
        <v>81</v>
      </c>
      <c r="C83" s="3" t="s">
        <v>82</v>
      </c>
      <c r="D83" s="3" t="s">
        <v>83</v>
      </c>
      <c r="E83" s="3" t="s">
        <v>392</v>
      </c>
      <c r="F83" s="3"/>
      <c r="G83" s="3" t="s">
        <v>19</v>
      </c>
      <c r="H83" s="3"/>
      <c r="I83" s="3" t="s">
        <v>20</v>
      </c>
      <c r="J83" s="3"/>
      <c r="K83" s="3" t="s">
        <v>28</v>
      </c>
      <c r="L83" s="3" t="s">
        <v>28</v>
      </c>
      <c r="M83" s="3" t="s">
        <v>393</v>
      </c>
      <c r="N83" s="3" t="s">
        <v>92</v>
      </c>
      <c r="O83" s="3" t="s">
        <v>394</v>
      </c>
      <c r="P83" s="3" t="s">
        <v>30</v>
      </c>
      <c r="Q83" s="3"/>
      <c r="R83" s="3"/>
      <c r="S83" s="3"/>
      <c r="T83" s="3"/>
      <c r="U83" s="3"/>
      <c r="V83" s="3"/>
      <c r="W83" s="3"/>
      <c r="X83" s="3"/>
      <c r="Y83" s="3"/>
      <c r="Z83" s="3"/>
      <c r="AA83" s="3"/>
    </row>
    <row r="84" spans="1:27" ht="14.25" customHeight="1">
      <c r="A84" s="2">
        <v>46178</v>
      </c>
      <c r="B84" s="3" t="s">
        <v>15</v>
      </c>
      <c r="C84" s="3" t="s">
        <v>39</v>
      </c>
      <c r="D84" s="3" t="s">
        <v>15</v>
      </c>
      <c r="E84" s="3" t="s">
        <v>395</v>
      </c>
      <c r="F84" s="3"/>
      <c r="G84" s="3" t="s">
        <v>19</v>
      </c>
      <c r="H84" s="3"/>
      <c r="I84" s="3" t="s">
        <v>20</v>
      </c>
      <c r="J84" s="3"/>
      <c r="K84" s="3" t="s">
        <v>21</v>
      </c>
      <c r="L84" s="3" t="s">
        <v>21</v>
      </c>
      <c r="M84" s="3" t="s">
        <v>396</v>
      </c>
      <c r="N84" s="3" t="s">
        <v>397</v>
      </c>
      <c r="O84" s="3" t="s">
        <v>398</v>
      </c>
      <c r="P84" s="3" t="s">
        <v>48</v>
      </c>
      <c r="Q84" s="3"/>
      <c r="R84" s="3"/>
      <c r="S84" s="3"/>
      <c r="T84" s="3"/>
      <c r="U84" s="3"/>
      <c r="V84" s="3"/>
      <c r="W84" s="3"/>
      <c r="X84" s="3"/>
      <c r="Y84" s="3"/>
      <c r="Z84" s="3"/>
      <c r="AA84" s="3"/>
    </row>
    <row r="85" spans="1:27" ht="14.25" customHeight="1">
      <c r="A85" s="2">
        <v>46178</v>
      </c>
      <c r="B85" s="3" t="s">
        <v>81</v>
      </c>
      <c r="C85" s="3" t="s">
        <v>50</v>
      </c>
      <c r="D85" s="3" t="s">
        <v>51</v>
      </c>
      <c r="E85" s="3" t="s">
        <v>399</v>
      </c>
      <c r="F85" s="3"/>
      <c r="G85" s="3" t="s">
        <v>19</v>
      </c>
      <c r="H85" s="3"/>
      <c r="I85" s="3" t="s">
        <v>45</v>
      </c>
      <c r="J85" s="3"/>
      <c r="K85" s="3" t="s">
        <v>28</v>
      </c>
      <c r="L85" s="3" t="s">
        <v>28</v>
      </c>
      <c r="M85" s="3" t="s">
        <v>400</v>
      </c>
      <c r="N85" s="3" t="s">
        <v>48</v>
      </c>
      <c r="O85" s="3" t="s">
        <v>48</v>
      </c>
      <c r="P85" s="3" t="s">
        <v>48</v>
      </c>
      <c r="Q85" s="3"/>
      <c r="R85" s="3"/>
      <c r="S85" s="3"/>
      <c r="T85" s="3"/>
      <c r="U85" s="3"/>
      <c r="V85" s="3"/>
      <c r="W85" s="3"/>
      <c r="X85" s="3"/>
      <c r="Y85" s="3"/>
      <c r="Z85" s="3"/>
      <c r="AA85" s="3"/>
    </row>
    <row r="86" spans="1:27" ht="14.25" customHeight="1">
      <c r="A86" s="2">
        <v>46178</v>
      </c>
      <c r="B86" s="3" t="s">
        <v>81</v>
      </c>
      <c r="C86" s="3" t="s">
        <v>82</v>
      </c>
      <c r="D86" s="3" t="s">
        <v>83</v>
      </c>
      <c r="E86" s="3" t="s">
        <v>401</v>
      </c>
      <c r="F86" s="3"/>
      <c r="G86" s="3" t="s">
        <v>19</v>
      </c>
      <c r="H86" s="3"/>
      <c r="I86" s="3" t="s">
        <v>20</v>
      </c>
      <c r="J86" s="3"/>
      <c r="K86" s="3" t="s">
        <v>28</v>
      </c>
      <c r="L86" s="3" t="s">
        <v>21</v>
      </c>
      <c r="M86" s="3" t="s">
        <v>402</v>
      </c>
      <c r="N86" s="3" t="s">
        <v>92</v>
      </c>
      <c r="O86" s="3" t="s">
        <v>403</v>
      </c>
      <c r="P86" s="3" t="s">
        <v>92</v>
      </c>
      <c r="Q86" s="3"/>
      <c r="R86" s="3"/>
      <c r="S86" s="3"/>
      <c r="T86" s="3"/>
      <c r="U86" s="3"/>
      <c r="V86" s="3"/>
      <c r="W86" s="3"/>
      <c r="X86" s="3"/>
      <c r="Y86" s="3"/>
      <c r="Z86" s="3"/>
      <c r="AA86" s="3"/>
    </row>
    <row r="87" spans="1:27" ht="14.25" customHeight="1">
      <c r="A87" s="2">
        <v>46178</v>
      </c>
      <c r="B87" s="3" t="s">
        <v>81</v>
      </c>
      <c r="C87" s="3" t="s">
        <v>50</v>
      </c>
      <c r="D87" s="3" t="s">
        <v>136</v>
      </c>
      <c r="E87" s="3" t="s">
        <v>404</v>
      </c>
      <c r="F87" s="3"/>
      <c r="G87" s="3" t="s">
        <v>19</v>
      </c>
      <c r="H87" s="3"/>
      <c r="I87" s="3" t="s">
        <v>20</v>
      </c>
      <c r="J87" s="3"/>
      <c r="K87" s="3" t="s">
        <v>21</v>
      </c>
      <c r="L87" s="3" t="s">
        <v>21</v>
      </c>
      <c r="M87" s="3" t="s">
        <v>405</v>
      </c>
      <c r="N87" s="3" t="s">
        <v>406</v>
      </c>
      <c r="O87" s="3" t="s">
        <v>407</v>
      </c>
      <c r="P87" s="3"/>
      <c r="Q87" s="3"/>
      <c r="R87" s="3"/>
      <c r="S87" s="3"/>
      <c r="T87" s="3"/>
      <c r="U87" s="3"/>
      <c r="V87" s="3"/>
      <c r="W87" s="3"/>
      <c r="X87" s="3"/>
      <c r="Y87" s="3"/>
      <c r="Z87" s="3"/>
      <c r="AA87" s="3"/>
    </row>
    <row r="88" spans="1:27" ht="14.25" customHeight="1">
      <c r="A88" s="2">
        <v>46178</v>
      </c>
      <c r="B88" s="3" t="s">
        <v>81</v>
      </c>
      <c r="C88" s="3" t="s">
        <v>50</v>
      </c>
      <c r="D88" s="3" t="s">
        <v>136</v>
      </c>
      <c r="E88" s="3" t="s">
        <v>408</v>
      </c>
      <c r="F88" s="3"/>
      <c r="G88" s="3" t="s">
        <v>19</v>
      </c>
      <c r="H88" s="3"/>
      <c r="I88" s="3" t="s">
        <v>20</v>
      </c>
      <c r="J88" s="3"/>
      <c r="K88" s="3" t="s">
        <v>21</v>
      </c>
      <c r="L88" s="3" t="s">
        <v>28</v>
      </c>
      <c r="M88" s="3" t="s">
        <v>409</v>
      </c>
      <c r="N88" s="3" t="s">
        <v>410</v>
      </c>
      <c r="O88" s="3" t="s">
        <v>411</v>
      </c>
      <c r="P88" s="3" t="s">
        <v>30</v>
      </c>
      <c r="Q88" s="3"/>
      <c r="R88" s="3"/>
      <c r="S88" s="3"/>
      <c r="T88" s="3"/>
      <c r="U88" s="3"/>
      <c r="V88" s="3"/>
      <c r="W88" s="3"/>
      <c r="X88" s="3"/>
      <c r="Y88" s="3"/>
      <c r="Z88" s="3"/>
      <c r="AA88" s="3"/>
    </row>
    <row r="89" spans="1:27" ht="14.25" customHeight="1">
      <c r="A89" s="2">
        <v>46178</v>
      </c>
      <c r="B89" s="3" t="s">
        <v>15</v>
      </c>
      <c r="C89" s="3" t="s">
        <v>33</v>
      </c>
      <c r="D89" s="3" t="s">
        <v>34</v>
      </c>
      <c r="E89" s="3" t="s">
        <v>412</v>
      </c>
      <c r="F89" s="3"/>
      <c r="G89" s="3" t="s">
        <v>19</v>
      </c>
      <c r="H89" s="3"/>
      <c r="I89" s="3" t="s">
        <v>45</v>
      </c>
      <c r="J89" s="3"/>
      <c r="K89" s="3" t="s">
        <v>21</v>
      </c>
      <c r="L89" s="3" t="s">
        <v>21</v>
      </c>
      <c r="M89" s="3" t="s">
        <v>413</v>
      </c>
      <c r="N89" s="3" t="s">
        <v>414</v>
      </c>
      <c r="O89" s="3" t="s">
        <v>414</v>
      </c>
      <c r="P89" s="3" t="s">
        <v>300</v>
      </c>
      <c r="Q89" s="3"/>
      <c r="R89" s="3"/>
      <c r="S89" s="3"/>
      <c r="T89" s="3"/>
      <c r="U89" s="3"/>
      <c r="V89" s="3"/>
      <c r="W89" s="3"/>
      <c r="X89" s="3"/>
      <c r="Y89" s="3"/>
      <c r="Z89" s="3"/>
      <c r="AA89" s="3"/>
    </row>
    <row r="90" spans="1:27" ht="14.25" customHeight="1">
      <c r="A90" s="2">
        <v>46178</v>
      </c>
      <c r="B90" s="3" t="s">
        <v>81</v>
      </c>
      <c r="C90" s="3" t="s">
        <v>82</v>
      </c>
      <c r="D90" s="3" t="s">
        <v>288</v>
      </c>
      <c r="E90" s="3" t="s">
        <v>415</v>
      </c>
      <c r="F90" s="3"/>
      <c r="G90" s="3" t="s">
        <v>19</v>
      </c>
      <c r="H90" s="3"/>
      <c r="I90" s="3" t="s">
        <v>20</v>
      </c>
      <c r="J90" s="3"/>
      <c r="K90" s="3" t="s">
        <v>28</v>
      </c>
      <c r="L90" s="3" t="s">
        <v>28</v>
      </c>
      <c r="M90" s="3" t="s">
        <v>416</v>
      </c>
      <c r="N90" s="3" t="s">
        <v>417</v>
      </c>
      <c r="O90" s="3" t="s">
        <v>418</v>
      </c>
      <c r="P90" s="3" t="s">
        <v>419</v>
      </c>
      <c r="Q90" s="3"/>
      <c r="R90" s="3"/>
      <c r="S90" s="3"/>
      <c r="T90" s="3"/>
      <c r="U90" s="3"/>
      <c r="V90" s="3"/>
      <c r="W90" s="3"/>
      <c r="X90" s="3"/>
      <c r="Y90" s="3"/>
      <c r="Z90" s="3"/>
      <c r="AA90" s="3"/>
    </row>
    <row r="91" spans="1:27" ht="14.25" customHeight="1">
      <c r="A91" s="2">
        <v>46178</v>
      </c>
      <c r="B91" s="3" t="s">
        <v>81</v>
      </c>
      <c r="C91" s="3" t="s">
        <v>50</v>
      </c>
      <c r="D91" s="3" t="s">
        <v>136</v>
      </c>
      <c r="E91" s="3" t="s">
        <v>420</v>
      </c>
      <c r="F91" s="3"/>
      <c r="G91" s="3" t="s">
        <v>19</v>
      </c>
      <c r="H91" s="3"/>
      <c r="I91" s="3" t="s">
        <v>20</v>
      </c>
      <c r="J91" s="3"/>
      <c r="K91" s="3" t="s">
        <v>28</v>
      </c>
      <c r="L91" s="3" t="s">
        <v>28</v>
      </c>
      <c r="M91" s="3" t="s">
        <v>421</v>
      </c>
      <c r="N91" s="3" t="s">
        <v>422</v>
      </c>
      <c r="O91" s="3" t="s">
        <v>423</v>
      </c>
      <c r="P91" s="3"/>
      <c r="Q91" s="3"/>
      <c r="R91" s="3"/>
      <c r="S91" s="3"/>
      <c r="T91" s="3"/>
      <c r="U91" s="3"/>
      <c r="V91" s="3"/>
      <c r="W91" s="3"/>
      <c r="X91" s="3"/>
      <c r="Y91" s="3"/>
      <c r="Z91" s="3"/>
      <c r="AA91" s="3"/>
    </row>
    <row r="92" spans="1:27" ht="14.25" customHeight="1">
      <c r="A92" s="2">
        <v>46178</v>
      </c>
      <c r="B92" s="3" t="s">
        <v>111</v>
      </c>
      <c r="C92" s="3" t="s">
        <v>112</v>
      </c>
      <c r="D92" s="3" t="s">
        <v>113</v>
      </c>
      <c r="E92" s="3" t="s">
        <v>424</v>
      </c>
      <c r="F92" s="3"/>
      <c r="G92" s="3" t="s">
        <v>19</v>
      </c>
      <c r="H92" s="3"/>
      <c r="I92" s="3" t="s">
        <v>45</v>
      </c>
      <c r="J92" s="3"/>
      <c r="K92" s="3" t="s">
        <v>28</v>
      </c>
      <c r="L92" s="3" t="s">
        <v>28</v>
      </c>
      <c r="M92" s="3" t="s">
        <v>425</v>
      </c>
      <c r="N92" s="3" t="s">
        <v>426</v>
      </c>
      <c r="O92" s="3" t="s">
        <v>427</v>
      </c>
      <c r="P92" s="3" t="s">
        <v>428</v>
      </c>
      <c r="Q92" s="3"/>
      <c r="R92" s="3"/>
      <c r="S92" s="3"/>
      <c r="T92" s="3"/>
      <c r="U92" s="3"/>
      <c r="V92" s="3"/>
      <c r="W92" s="3"/>
      <c r="X92" s="3"/>
      <c r="Y92" s="3"/>
      <c r="Z92" s="3"/>
      <c r="AA92" s="3"/>
    </row>
    <row r="93" spans="1:27" ht="14.25" customHeight="1">
      <c r="A93" s="2">
        <v>46178</v>
      </c>
      <c r="B93" s="3" t="s">
        <v>25</v>
      </c>
      <c r="C93" s="3" t="s">
        <v>26</v>
      </c>
      <c r="D93" s="3" t="s">
        <v>25</v>
      </c>
      <c r="E93" s="3" t="s">
        <v>429</v>
      </c>
      <c r="F93" s="3"/>
      <c r="G93" s="3" t="s">
        <v>19</v>
      </c>
      <c r="H93" s="3"/>
      <c r="I93" s="3" t="s">
        <v>20</v>
      </c>
      <c r="J93" s="3"/>
      <c r="K93" s="3" t="s">
        <v>28</v>
      </c>
      <c r="L93" s="3" t="s">
        <v>21</v>
      </c>
      <c r="M93" s="3" t="s">
        <v>430</v>
      </c>
      <c r="N93" s="3" t="s">
        <v>48</v>
      </c>
      <c r="O93" s="3" t="s">
        <v>431</v>
      </c>
      <c r="P93" s="3" t="s">
        <v>432</v>
      </c>
      <c r="Q93" s="3"/>
      <c r="R93" s="3"/>
      <c r="S93" s="3"/>
      <c r="T93" s="3"/>
      <c r="U93" s="3"/>
      <c r="V93" s="3"/>
      <c r="W93" s="3"/>
      <c r="X93" s="3"/>
      <c r="Y93" s="3"/>
      <c r="Z93" s="3"/>
      <c r="AA93" s="3"/>
    </row>
    <row r="94" spans="1:27" ht="14.25" customHeight="1">
      <c r="A94" s="2">
        <v>46178</v>
      </c>
      <c r="B94" s="3" t="s">
        <v>15</v>
      </c>
      <c r="C94" s="3" t="s">
        <v>16</v>
      </c>
      <c r="D94" s="3" t="s">
        <v>17</v>
      </c>
      <c r="E94" s="3" t="s">
        <v>433</v>
      </c>
      <c r="F94" s="3"/>
      <c r="G94" s="3" t="s">
        <v>19</v>
      </c>
      <c r="H94" s="3"/>
      <c r="I94" s="3" t="s">
        <v>20</v>
      </c>
      <c r="J94" s="3"/>
      <c r="K94" s="3" t="s">
        <v>28</v>
      </c>
      <c r="L94" s="3" t="s">
        <v>28</v>
      </c>
      <c r="M94" s="3" t="s">
        <v>434</v>
      </c>
      <c r="N94" s="3" t="s">
        <v>435</v>
      </c>
      <c r="O94" s="3" t="s">
        <v>436</v>
      </c>
      <c r="P94" s="3" t="s">
        <v>437</v>
      </c>
      <c r="Q94" s="3"/>
      <c r="R94" s="3"/>
      <c r="S94" s="3"/>
      <c r="T94" s="3"/>
      <c r="U94" s="3"/>
      <c r="V94" s="3"/>
      <c r="W94" s="3"/>
      <c r="X94" s="3"/>
      <c r="Y94" s="3"/>
      <c r="Z94" s="3"/>
      <c r="AA94" s="3"/>
    </row>
    <row r="95" spans="1:27" ht="14.25" customHeight="1">
      <c r="A95" s="2">
        <v>46178</v>
      </c>
      <c r="B95" s="3" t="s">
        <v>15</v>
      </c>
      <c r="C95" s="3" t="s">
        <v>33</v>
      </c>
      <c r="D95" s="3" t="s">
        <v>34</v>
      </c>
      <c r="E95" s="3" t="s">
        <v>438</v>
      </c>
      <c r="F95" s="3"/>
      <c r="G95" s="3" t="s">
        <v>19</v>
      </c>
      <c r="H95" s="3"/>
      <c r="I95" s="3" t="s">
        <v>20</v>
      </c>
      <c r="J95" s="3"/>
      <c r="K95" s="3" t="s">
        <v>21</v>
      </c>
      <c r="L95" s="3" t="s">
        <v>21</v>
      </c>
      <c r="M95" s="3" t="s">
        <v>439</v>
      </c>
      <c r="N95" s="3" t="s">
        <v>440</v>
      </c>
      <c r="O95" s="3" t="s">
        <v>441</v>
      </c>
      <c r="P95" s="3" t="s">
        <v>48</v>
      </c>
      <c r="Q95" s="3"/>
      <c r="R95" s="3"/>
      <c r="S95" s="3"/>
      <c r="T95" s="3"/>
      <c r="U95" s="3"/>
      <c r="V95" s="3"/>
      <c r="W95" s="3"/>
      <c r="X95" s="3"/>
      <c r="Y95" s="3"/>
      <c r="Z95" s="3"/>
      <c r="AA95" s="3"/>
    </row>
    <row r="96" spans="1:27" ht="14.25" customHeight="1">
      <c r="A96" s="2">
        <v>46178</v>
      </c>
      <c r="B96" s="3" t="s">
        <v>15</v>
      </c>
      <c r="C96" s="3" t="s">
        <v>16</v>
      </c>
      <c r="D96" s="3" t="s">
        <v>17</v>
      </c>
      <c r="E96" s="3" t="s">
        <v>442</v>
      </c>
      <c r="F96" s="3"/>
      <c r="G96" s="3" t="s">
        <v>19</v>
      </c>
      <c r="H96" s="3"/>
      <c r="I96" s="3" t="s">
        <v>20</v>
      </c>
      <c r="J96" s="3"/>
      <c r="K96" s="3" t="s">
        <v>21</v>
      </c>
      <c r="L96" s="3" t="s">
        <v>28</v>
      </c>
      <c r="M96" s="3" t="s">
        <v>443</v>
      </c>
      <c r="N96" s="3" t="s">
        <v>444</v>
      </c>
      <c r="O96" s="3" t="s">
        <v>444</v>
      </c>
      <c r="P96" s="3" t="s">
        <v>444</v>
      </c>
      <c r="Q96" s="3"/>
      <c r="R96" s="3"/>
      <c r="S96" s="3"/>
      <c r="T96" s="3"/>
      <c r="U96" s="3"/>
      <c r="V96" s="3"/>
      <c r="W96" s="3"/>
      <c r="X96" s="3"/>
      <c r="Y96" s="3"/>
      <c r="Z96" s="3"/>
      <c r="AA96" s="3"/>
    </row>
    <row r="97" spans="1:27" ht="14.25" customHeight="1">
      <c r="A97" s="2">
        <v>46178</v>
      </c>
      <c r="B97" s="3" t="s">
        <v>150</v>
      </c>
      <c r="C97" s="3" t="s">
        <v>151</v>
      </c>
      <c r="D97" s="3" t="s">
        <v>150</v>
      </c>
      <c r="E97" s="3" t="s">
        <v>445</v>
      </c>
      <c r="F97" s="3"/>
      <c r="G97" s="3" t="s">
        <v>19</v>
      </c>
      <c r="H97" s="3"/>
      <c r="I97" s="3" t="s">
        <v>20</v>
      </c>
      <c r="J97" s="3"/>
      <c r="K97" s="3" t="s">
        <v>21</v>
      </c>
      <c r="L97" s="3" t="s">
        <v>21</v>
      </c>
      <c r="M97" s="3" t="s">
        <v>446</v>
      </c>
      <c r="N97" s="3" t="s">
        <v>447</v>
      </c>
      <c r="O97" s="3" t="s">
        <v>448</v>
      </c>
      <c r="P97" s="3" t="s">
        <v>449</v>
      </c>
      <c r="Q97" s="3"/>
      <c r="R97" s="3"/>
      <c r="S97" s="3"/>
      <c r="T97" s="3"/>
      <c r="U97" s="3"/>
      <c r="V97" s="3"/>
      <c r="W97" s="3"/>
      <c r="X97" s="3"/>
      <c r="Y97" s="3"/>
      <c r="Z97" s="3"/>
      <c r="AA97" s="3"/>
    </row>
    <row r="98" spans="1:27" ht="14.25" customHeight="1">
      <c r="A98" s="2">
        <v>46178</v>
      </c>
      <c r="B98" s="3" t="s">
        <v>81</v>
      </c>
      <c r="C98" s="3" t="s">
        <v>50</v>
      </c>
      <c r="D98" s="3" t="s">
        <v>136</v>
      </c>
      <c r="E98" s="3" t="s">
        <v>450</v>
      </c>
      <c r="F98" s="3"/>
      <c r="G98" s="3" t="s">
        <v>19</v>
      </c>
      <c r="H98" s="3"/>
      <c r="I98" s="3" t="s">
        <v>20</v>
      </c>
      <c r="J98" s="3"/>
      <c r="K98" s="3" t="s">
        <v>21</v>
      </c>
      <c r="L98" s="3" t="s">
        <v>21</v>
      </c>
      <c r="M98" s="3" t="s">
        <v>451</v>
      </c>
      <c r="N98" s="3" t="s">
        <v>30</v>
      </c>
      <c r="O98" s="3" t="s">
        <v>452</v>
      </c>
      <c r="P98" s="3"/>
      <c r="Q98" s="3"/>
      <c r="R98" s="3"/>
      <c r="S98" s="3"/>
      <c r="T98" s="3"/>
      <c r="U98" s="3"/>
      <c r="V98" s="3"/>
      <c r="W98" s="3"/>
      <c r="X98" s="3"/>
      <c r="Y98" s="3"/>
      <c r="Z98" s="3"/>
      <c r="AA98" s="3"/>
    </row>
    <row r="99" spans="1:27" ht="14.25" customHeight="1">
      <c r="A99" s="2">
        <v>46178</v>
      </c>
      <c r="B99" s="3" t="s">
        <v>81</v>
      </c>
      <c r="C99" s="3" t="s">
        <v>50</v>
      </c>
      <c r="D99" s="3" t="s">
        <v>136</v>
      </c>
      <c r="E99" s="3" t="s">
        <v>453</v>
      </c>
      <c r="F99" s="3"/>
      <c r="G99" s="3" t="s">
        <v>19</v>
      </c>
      <c r="H99" s="3"/>
      <c r="I99" s="3" t="s">
        <v>20</v>
      </c>
      <c r="J99" s="3"/>
      <c r="K99" s="3" t="s">
        <v>28</v>
      </c>
      <c r="L99" s="3" t="s">
        <v>28</v>
      </c>
      <c r="M99" s="3" t="s">
        <v>454</v>
      </c>
      <c r="N99" s="3" t="s">
        <v>56</v>
      </c>
      <c r="O99" s="3" t="s">
        <v>455</v>
      </c>
      <c r="P99" s="3"/>
      <c r="Q99" s="3"/>
      <c r="R99" s="3"/>
      <c r="S99" s="3"/>
      <c r="T99" s="3"/>
      <c r="U99" s="3"/>
      <c r="V99" s="3"/>
      <c r="W99" s="3"/>
      <c r="X99" s="3"/>
      <c r="Y99" s="3"/>
      <c r="Z99" s="3"/>
      <c r="AA99" s="3"/>
    </row>
    <row r="100" spans="1:27" ht="14.25" customHeight="1">
      <c r="A100" s="2">
        <v>46178</v>
      </c>
      <c r="B100" s="3" t="s">
        <v>81</v>
      </c>
      <c r="C100" s="3" t="s">
        <v>50</v>
      </c>
      <c r="D100" s="3" t="s">
        <v>136</v>
      </c>
      <c r="E100" s="3" t="s">
        <v>456</v>
      </c>
      <c r="F100" s="3"/>
      <c r="G100" s="3" t="s">
        <v>19</v>
      </c>
      <c r="H100" s="3"/>
      <c r="I100" s="3" t="s">
        <v>20</v>
      </c>
      <c r="J100" s="3"/>
      <c r="K100" s="3" t="s">
        <v>21</v>
      </c>
      <c r="L100" s="3" t="s">
        <v>28</v>
      </c>
      <c r="M100" s="3" t="s">
        <v>457</v>
      </c>
      <c r="N100" s="3" t="s">
        <v>48</v>
      </c>
      <c r="O100" s="3" t="s">
        <v>48</v>
      </c>
      <c r="P100" s="3"/>
      <c r="Q100" s="3"/>
      <c r="R100" s="3"/>
      <c r="S100" s="3"/>
      <c r="T100" s="3"/>
      <c r="U100" s="3"/>
      <c r="V100" s="3"/>
      <c r="W100" s="3"/>
      <c r="X100" s="3"/>
      <c r="Y100" s="3"/>
      <c r="Z100" s="3"/>
      <c r="AA100" s="3"/>
    </row>
    <row r="101" spans="1:27" ht="14.25" customHeight="1">
      <c r="A101" s="2">
        <v>46178</v>
      </c>
      <c r="B101" s="3" t="s">
        <v>15</v>
      </c>
      <c r="C101" s="3" t="s">
        <v>39</v>
      </c>
      <c r="D101" s="3" t="s">
        <v>57</v>
      </c>
      <c r="E101" s="3" t="s">
        <v>458</v>
      </c>
      <c r="F101" s="3"/>
      <c r="G101" s="3" t="s">
        <v>19</v>
      </c>
      <c r="H101" s="3"/>
      <c r="I101" s="3" t="s">
        <v>20</v>
      </c>
      <c r="J101" s="3"/>
      <c r="K101" s="3" t="s">
        <v>28</v>
      </c>
      <c r="L101" s="3" t="s">
        <v>28</v>
      </c>
      <c r="M101" s="3" t="s">
        <v>459</v>
      </c>
      <c r="N101" s="3" t="s">
        <v>460</v>
      </c>
      <c r="O101" s="3" t="s">
        <v>48</v>
      </c>
      <c r="P101" s="3"/>
      <c r="Q101" s="3"/>
      <c r="R101" s="3"/>
      <c r="S101" s="3"/>
      <c r="T101" s="3"/>
      <c r="U101" s="3"/>
      <c r="V101" s="3"/>
      <c r="W101" s="3"/>
      <c r="X101" s="3"/>
      <c r="Y101" s="3"/>
      <c r="Z101" s="3"/>
      <c r="AA101" s="3"/>
    </row>
    <row r="102" spans="1:27" ht="14.25" customHeight="1">
      <c r="A102" s="2">
        <v>46178</v>
      </c>
      <c r="B102" s="3" t="s">
        <v>15</v>
      </c>
      <c r="C102" s="3" t="s">
        <v>39</v>
      </c>
      <c r="D102" s="3" t="s">
        <v>67</v>
      </c>
      <c r="E102" s="3" t="s">
        <v>461</v>
      </c>
      <c r="F102" s="3"/>
      <c r="G102" s="3" t="s">
        <v>19</v>
      </c>
      <c r="H102" s="3"/>
      <c r="I102" s="3" t="s">
        <v>20</v>
      </c>
      <c r="J102" s="3"/>
      <c r="K102" s="3" t="s">
        <v>21</v>
      </c>
      <c r="L102" s="3" t="s">
        <v>21</v>
      </c>
      <c r="M102" s="3" t="s">
        <v>462</v>
      </c>
      <c r="N102" s="3" t="s">
        <v>48</v>
      </c>
      <c r="O102" s="3" t="s">
        <v>48</v>
      </c>
      <c r="P102" s="3" t="s">
        <v>48</v>
      </c>
      <c r="Q102" s="3"/>
      <c r="R102" s="3"/>
      <c r="S102" s="3"/>
      <c r="T102" s="3"/>
      <c r="U102" s="3"/>
      <c r="V102" s="3"/>
      <c r="W102" s="3"/>
      <c r="X102" s="3"/>
      <c r="Y102" s="3"/>
      <c r="Z102" s="3"/>
      <c r="AA102" s="3"/>
    </row>
    <row r="103" spans="1:27" ht="14.25" customHeight="1">
      <c r="A103" s="2">
        <v>46178</v>
      </c>
      <c r="B103" s="3" t="s">
        <v>15</v>
      </c>
      <c r="C103" s="3" t="s">
        <v>33</v>
      </c>
      <c r="D103" s="3" t="s">
        <v>62</v>
      </c>
      <c r="E103" s="3" t="s">
        <v>463</v>
      </c>
      <c r="F103" s="3"/>
      <c r="G103" s="3" t="s">
        <v>19</v>
      </c>
      <c r="H103" s="3"/>
      <c r="I103" s="3" t="s">
        <v>20</v>
      </c>
      <c r="J103" s="3"/>
      <c r="K103" s="3" t="s">
        <v>28</v>
      </c>
      <c r="L103" s="3" t="s">
        <v>28</v>
      </c>
      <c r="M103" s="3" t="s">
        <v>464</v>
      </c>
      <c r="N103" s="3" t="s">
        <v>465</v>
      </c>
      <c r="O103" s="3" t="s">
        <v>48</v>
      </c>
      <c r="P103" s="3"/>
      <c r="Q103" s="3"/>
      <c r="R103" s="3"/>
      <c r="S103" s="3"/>
      <c r="T103" s="3"/>
      <c r="U103" s="3"/>
      <c r="V103" s="3"/>
      <c r="W103" s="3"/>
      <c r="X103" s="3"/>
      <c r="Y103" s="3"/>
      <c r="Z103" s="3"/>
      <c r="AA103" s="3"/>
    </row>
    <row r="104" spans="1:27" ht="14.25" customHeight="1">
      <c r="A104" s="2">
        <v>46178</v>
      </c>
      <c r="B104" s="3" t="s">
        <v>111</v>
      </c>
      <c r="C104" s="3" t="s">
        <v>112</v>
      </c>
      <c r="D104" s="3" t="s">
        <v>145</v>
      </c>
      <c r="E104" s="3" t="s">
        <v>466</v>
      </c>
      <c r="F104" s="3"/>
      <c r="G104" s="3" t="s">
        <v>19</v>
      </c>
      <c r="H104" s="3"/>
      <c r="I104" s="3" t="s">
        <v>20</v>
      </c>
      <c r="J104" s="3"/>
      <c r="K104" s="3" t="s">
        <v>28</v>
      </c>
      <c r="L104" s="3" t="s">
        <v>28</v>
      </c>
      <c r="M104" s="3" t="s">
        <v>467</v>
      </c>
      <c r="N104" s="3" t="s">
        <v>468</v>
      </c>
      <c r="O104" s="3" t="s">
        <v>469</v>
      </c>
      <c r="P104" s="3" t="s">
        <v>30</v>
      </c>
      <c r="Q104" s="3"/>
      <c r="R104" s="3"/>
      <c r="S104" s="3"/>
      <c r="T104" s="3"/>
      <c r="U104" s="3"/>
      <c r="V104" s="3"/>
      <c r="W104" s="3"/>
      <c r="X104" s="3"/>
      <c r="Y104" s="3"/>
      <c r="Z104" s="3"/>
      <c r="AA104" s="3"/>
    </row>
    <row r="105" spans="1:27" ht="14.25" customHeight="1">
      <c r="A105" s="2">
        <v>46178</v>
      </c>
      <c r="B105" s="3" t="s">
        <v>111</v>
      </c>
      <c r="C105" s="3" t="s">
        <v>112</v>
      </c>
      <c r="D105" s="3" t="s">
        <v>145</v>
      </c>
      <c r="E105" s="3" t="s">
        <v>470</v>
      </c>
      <c r="F105" s="3"/>
      <c r="G105" s="3" t="s">
        <v>19</v>
      </c>
      <c r="H105" s="3"/>
      <c r="I105" s="3" t="s">
        <v>45</v>
      </c>
      <c r="J105" s="3"/>
      <c r="K105" s="3" t="s">
        <v>28</v>
      </c>
      <c r="L105" s="3" t="s">
        <v>28</v>
      </c>
      <c r="M105" s="3" t="s">
        <v>471</v>
      </c>
      <c r="N105" s="3" t="s">
        <v>472</v>
      </c>
      <c r="O105" s="3" t="s">
        <v>473</v>
      </c>
      <c r="P105" s="3" t="s">
        <v>474</v>
      </c>
      <c r="Q105" s="3"/>
      <c r="R105" s="3"/>
      <c r="S105" s="3"/>
      <c r="T105" s="3"/>
      <c r="U105" s="3"/>
      <c r="V105" s="3"/>
      <c r="W105" s="3"/>
      <c r="X105" s="3"/>
      <c r="Y105" s="3"/>
      <c r="Z105" s="3"/>
      <c r="AA105" s="3"/>
    </row>
    <row r="106" spans="1:27" ht="14.25" customHeight="1">
      <c r="A106" s="2">
        <v>46178</v>
      </c>
      <c r="B106" s="3" t="s">
        <v>81</v>
      </c>
      <c r="C106" s="3" t="s">
        <v>82</v>
      </c>
      <c r="D106" s="3" t="s">
        <v>475</v>
      </c>
      <c r="E106" s="3" t="s">
        <v>476</v>
      </c>
      <c r="F106" s="3"/>
      <c r="G106" s="3" t="s">
        <v>19</v>
      </c>
      <c r="H106" s="3"/>
      <c r="I106" s="3" t="s">
        <v>20</v>
      </c>
      <c r="J106" s="3"/>
      <c r="K106" s="3" t="s">
        <v>28</v>
      </c>
      <c r="L106" s="3" t="s">
        <v>28</v>
      </c>
      <c r="M106" s="3" t="s">
        <v>477</v>
      </c>
      <c r="N106" s="3" t="s">
        <v>478</v>
      </c>
      <c r="O106" s="3" t="s">
        <v>479</v>
      </c>
      <c r="P106" s="3" t="s">
        <v>30</v>
      </c>
      <c r="Q106" s="3"/>
      <c r="R106" s="3"/>
      <c r="S106" s="3"/>
      <c r="T106" s="3"/>
      <c r="U106" s="3"/>
      <c r="V106" s="3"/>
      <c r="W106" s="3"/>
      <c r="X106" s="3"/>
      <c r="Y106" s="3"/>
      <c r="Z106" s="3"/>
      <c r="AA106" s="3"/>
    </row>
    <row r="107" spans="1:27" ht="14.25" customHeight="1">
      <c r="A107" s="2">
        <v>46178</v>
      </c>
      <c r="B107" s="3" t="s">
        <v>81</v>
      </c>
      <c r="C107" s="3" t="s">
        <v>50</v>
      </c>
      <c r="D107" s="3" t="s">
        <v>136</v>
      </c>
      <c r="E107" s="3" t="s">
        <v>480</v>
      </c>
      <c r="F107" s="3"/>
      <c r="G107" s="3" t="s">
        <v>19</v>
      </c>
      <c r="H107" s="3"/>
      <c r="I107" s="3" t="s">
        <v>20</v>
      </c>
      <c r="J107" s="3"/>
      <c r="K107" s="3" t="s">
        <v>21</v>
      </c>
      <c r="L107" s="3" t="s">
        <v>21</v>
      </c>
      <c r="M107" s="3" t="s">
        <v>481</v>
      </c>
      <c r="N107" s="3" t="s">
        <v>163</v>
      </c>
      <c r="O107" s="3" t="s">
        <v>482</v>
      </c>
      <c r="P107" s="3" t="s">
        <v>483</v>
      </c>
      <c r="Q107" s="3"/>
      <c r="R107" s="3"/>
      <c r="S107" s="3"/>
      <c r="T107" s="3"/>
      <c r="U107" s="3"/>
      <c r="V107" s="3"/>
      <c r="W107" s="3"/>
      <c r="X107" s="3"/>
      <c r="Y107" s="3"/>
      <c r="Z107" s="3"/>
      <c r="AA107" s="3"/>
    </row>
    <row r="108" spans="1:27" ht="14.25" customHeight="1">
      <c r="A108" s="2">
        <v>46178</v>
      </c>
      <c r="B108" s="3" t="s">
        <v>81</v>
      </c>
      <c r="C108" s="3" t="s">
        <v>82</v>
      </c>
      <c r="D108" s="3" t="s">
        <v>475</v>
      </c>
      <c r="E108" s="3" t="s">
        <v>484</v>
      </c>
      <c r="F108" s="3"/>
      <c r="G108" s="3" t="s">
        <v>19</v>
      </c>
      <c r="H108" s="3"/>
      <c r="I108" s="3" t="s">
        <v>20</v>
      </c>
      <c r="J108" s="3"/>
      <c r="K108" s="3" t="s">
        <v>28</v>
      </c>
      <c r="L108" s="3" t="s">
        <v>28</v>
      </c>
      <c r="M108" s="3" t="s">
        <v>485</v>
      </c>
      <c r="N108" s="3" t="s">
        <v>48</v>
      </c>
      <c r="O108" s="3" t="s">
        <v>48</v>
      </c>
      <c r="P108" s="3" t="s">
        <v>48</v>
      </c>
      <c r="Q108" s="3"/>
      <c r="R108" s="3"/>
      <c r="S108" s="3"/>
      <c r="T108" s="3"/>
      <c r="U108" s="3"/>
      <c r="V108" s="3"/>
      <c r="W108" s="3"/>
      <c r="X108" s="3"/>
      <c r="Y108" s="3"/>
      <c r="Z108" s="3"/>
      <c r="AA108" s="3"/>
    </row>
    <row r="109" spans="1:27" ht="14.25" customHeight="1">
      <c r="A109" s="2">
        <v>46178</v>
      </c>
      <c r="B109" s="3" t="s">
        <v>81</v>
      </c>
      <c r="C109" s="3" t="s">
        <v>82</v>
      </c>
      <c r="D109" s="3" t="s">
        <v>95</v>
      </c>
      <c r="E109" s="3" t="s">
        <v>486</v>
      </c>
      <c r="F109" s="3"/>
      <c r="G109" s="3" t="s">
        <v>19</v>
      </c>
      <c r="H109" s="3"/>
      <c r="I109" s="3" t="s">
        <v>20</v>
      </c>
      <c r="J109" s="3"/>
      <c r="K109" s="3" t="s">
        <v>21</v>
      </c>
      <c r="L109" s="3" t="s">
        <v>21</v>
      </c>
      <c r="M109" s="3" t="s">
        <v>487</v>
      </c>
      <c r="N109" s="3" t="s">
        <v>30</v>
      </c>
      <c r="O109" s="3" t="s">
        <v>30</v>
      </c>
      <c r="P109" s="3"/>
      <c r="Q109" s="3"/>
      <c r="R109" s="3"/>
      <c r="S109" s="3"/>
      <c r="T109" s="3"/>
      <c r="U109" s="3"/>
      <c r="V109" s="3"/>
      <c r="W109" s="3"/>
      <c r="X109" s="3"/>
      <c r="Y109" s="3"/>
      <c r="Z109" s="3"/>
      <c r="AA109" s="3"/>
    </row>
    <row r="110" spans="1:27" ht="14.25" customHeight="1">
      <c r="A110" s="2">
        <v>46178</v>
      </c>
      <c r="B110" s="3" t="s">
        <v>81</v>
      </c>
      <c r="C110" s="3" t="s">
        <v>82</v>
      </c>
      <c r="D110" s="3" t="s">
        <v>95</v>
      </c>
      <c r="E110" s="3" t="s">
        <v>488</v>
      </c>
      <c r="F110" s="3"/>
      <c r="G110" s="3" t="s">
        <v>19</v>
      </c>
      <c r="H110" s="3"/>
      <c r="I110" s="3" t="s">
        <v>20</v>
      </c>
      <c r="J110" s="3"/>
      <c r="K110" s="3" t="s">
        <v>28</v>
      </c>
      <c r="L110" s="3" t="s">
        <v>28</v>
      </c>
      <c r="M110" s="3" t="s">
        <v>489</v>
      </c>
      <c r="N110" s="3" t="s">
        <v>490</v>
      </c>
      <c r="O110" s="3" t="s">
        <v>491</v>
      </c>
      <c r="P110" s="3"/>
      <c r="Q110" s="3"/>
      <c r="R110" s="3"/>
      <c r="S110" s="3"/>
      <c r="T110" s="3"/>
      <c r="U110" s="3"/>
      <c r="V110" s="3"/>
      <c r="W110" s="3"/>
      <c r="X110" s="3"/>
      <c r="Y110" s="3"/>
      <c r="Z110" s="3"/>
      <c r="AA110" s="3"/>
    </row>
    <row r="111" spans="1:27" ht="14.25" customHeight="1">
      <c r="A111" s="2">
        <v>46178</v>
      </c>
      <c r="B111" s="3" t="s">
        <v>81</v>
      </c>
      <c r="C111" s="3" t="s">
        <v>82</v>
      </c>
      <c r="D111" s="3" t="s">
        <v>475</v>
      </c>
      <c r="E111" s="3" t="s">
        <v>492</v>
      </c>
      <c r="F111" s="3"/>
      <c r="G111" s="3" t="s">
        <v>19</v>
      </c>
      <c r="H111" s="3"/>
      <c r="I111" s="3" t="s">
        <v>20</v>
      </c>
      <c r="J111" s="3"/>
      <c r="K111" s="3" t="s">
        <v>21</v>
      </c>
      <c r="L111" s="3" t="s">
        <v>21</v>
      </c>
      <c r="M111" s="3" t="s">
        <v>493</v>
      </c>
      <c r="N111" s="3" t="s">
        <v>30</v>
      </c>
      <c r="O111" s="3" t="s">
        <v>30</v>
      </c>
      <c r="P111" s="3"/>
      <c r="Q111" s="3"/>
      <c r="R111" s="3"/>
      <c r="S111" s="3"/>
      <c r="T111" s="3"/>
      <c r="U111" s="3"/>
      <c r="V111" s="3"/>
      <c r="W111" s="3"/>
      <c r="X111" s="3"/>
      <c r="Y111" s="3"/>
      <c r="Z111" s="3"/>
      <c r="AA111" s="3"/>
    </row>
    <row r="112" spans="1:27" ht="14.25" customHeight="1">
      <c r="A112" s="2">
        <v>46178</v>
      </c>
      <c r="B112" s="3" t="s">
        <v>15</v>
      </c>
      <c r="C112" s="3" t="s">
        <v>33</v>
      </c>
      <c r="D112" s="3" t="s">
        <v>62</v>
      </c>
      <c r="E112" s="3" t="s">
        <v>494</v>
      </c>
      <c r="F112" s="3"/>
      <c r="G112" s="3" t="s">
        <v>19</v>
      </c>
      <c r="H112" s="3"/>
      <c r="I112" s="3" t="s">
        <v>45</v>
      </c>
      <c r="J112" s="3"/>
      <c r="K112" s="3" t="s">
        <v>28</v>
      </c>
      <c r="L112" s="3" t="s">
        <v>28</v>
      </c>
      <c r="M112" s="3" t="s">
        <v>495</v>
      </c>
      <c r="N112" s="3" t="s">
        <v>496</v>
      </c>
      <c r="O112" s="3" t="s">
        <v>497</v>
      </c>
      <c r="P112" s="3"/>
      <c r="Q112" s="3"/>
      <c r="R112" s="3"/>
      <c r="S112" s="3"/>
      <c r="T112" s="3"/>
      <c r="U112" s="3"/>
      <c r="V112" s="3"/>
      <c r="W112" s="3"/>
      <c r="X112" s="3"/>
      <c r="Y112" s="3"/>
      <c r="Z112" s="3"/>
      <c r="AA112" s="3"/>
    </row>
    <row r="113" spans="1:27" ht="14.25" customHeight="1">
      <c r="A113" s="2">
        <v>46178</v>
      </c>
      <c r="B113" s="3" t="s">
        <v>81</v>
      </c>
      <c r="C113" s="3" t="s">
        <v>82</v>
      </c>
      <c r="D113" s="3" t="s">
        <v>83</v>
      </c>
      <c r="E113" s="3" t="s">
        <v>498</v>
      </c>
      <c r="F113" s="3"/>
      <c r="G113" s="3" t="s">
        <v>19</v>
      </c>
      <c r="H113" s="3"/>
      <c r="I113" s="3" t="s">
        <v>20</v>
      </c>
      <c r="J113" s="3"/>
      <c r="K113" s="3" t="s">
        <v>21</v>
      </c>
      <c r="L113" s="3" t="s">
        <v>21</v>
      </c>
      <c r="M113" s="3" t="s">
        <v>499</v>
      </c>
      <c r="N113" s="3" t="s">
        <v>500</v>
      </c>
      <c r="O113" s="3" t="s">
        <v>501</v>
      </c>
      <c r="P113" s="3"/>
      <c r="Q113" s="3"/>
      <c r="R113" s="3"/>
      <c r="S113" s="3"/>
      <c r="T113" s="3"/>
      <c r="U113" s="3"/>
      <c r="V113" s="3"/>
      <c r="W113" s="3"/>
      <c r="X113" s="3"/>
      <c r="Y113" s="3"/>
      <c r="Z113" s="3"/>
      <c r="AA113" s="3"/>
    </row>
    <row r="114" spans="1:27" ht="14.25" customHeight="1">
      <c r="A114" s="2">
        <v>46178</v>
      </c>
      <c r="B114" s="3" t="s">
        <v>81</v>
      </c>
      <c r="C114" s="3" t="s">
        <v>82</v>
      </c>
      <c r="D114" s="3" t="s">
        <v>95</v>
      </c>
      <c r="E114" s="3" t="s">
        <v>502</v>
      </c>
      <c r="F114" s="3"/>
      <c r="G114" s="3" t="s">
        <v>19</v>
      </c>
      <c r="H114" s="3"/>
      <c r="I114" s="3" t="s">
        <v>20</v>
      </c>
      <c r="J114" s="3"/>
      <c r="K114" s="3" t="s">
        <v>28</v>
      </c>
      <c r="L114" s="3" t="s">
        <v>28</v>
      </c>
      <c r="M114" s="3" t="s">
        <v>503</v>
      </c>
      <c r="N114" s="3" t="s">
        <v>504</v>
      </c>
      <c r="O114" s="3" t="s">
        <v>505</v>
      </c>
      <c r="P114" s="3" t="s">
        <v>48</v>
      </c>
      <c r="Q114" s="3"/>
      <c r="R114" s="3"/>
      <c r="S114" s="3"/>
      <c r="T114" s="3"/>
      <c r="U114" s="3"/>
      <c r="V114" s="3"/>
      <c r="W114" s="3"/>
      <c r="X114" s="3"/>
      <c r="Y114" s="3"/>
      <c r="Z114" s="3"/>
      <c r="AA114" s="3"/>
    </row>
    <row r="115" spans="1:27" ht="14.25" customHeight="1">
      <c r="A115" s="2">
        <v>46178</v>
      </c>
      <c r="B115" s="3" t="s">
        <v>81</v>
      </c>
      <c r="C115" s="3" t="s">
        <v>82</v>
      </c>
      <c r="D115" s="3" t="s">
        <v>83</v>
      </c>
      <c r="E115" s="3" t="s">
        <v>506</v>
      </c>
      <c r="F115" s="3"/>
      <c r="G115" s="3" t="s">
        <v>19</v>
      </c>
      <c r="H115" s="3"/>
      <c r="I115" s="3" t="s">
        <v>20</v>
      </c>
      <c r="J115" s="3"/>
      <c r="K115" s="3" t="s">
        <v>21</v>
      </c>
      <c r="L115" s="3" t="s">
        <v>28</v>
      </c>
      <c r="M115" s="3" t="s">
        <v>507</v>
      </c>
      <c r="N115" s="3" t="s">
        <v>508</v>
      </c>
      <c r="O115" s="3" t="s">
        <v>509</v>
      </c>
      <c r="P115" s="3" t="s">
        <v>510</v>
      </c>
      <c r="Q115" s="3"/>
      <c r="R115" s="3"/>
      <c r="S115" s="3"/>
      <c r="T115" s="3"/>
      <c r="U115" s="3"/>
      <c r="V115" s="3"/>
      <c r="W115" s="3"/>
      <c r="X115" s="3"/>
      <c r="Y115" s="3"/>
      <c r="Z115" s="3"/>
      <c r="AA115" s="3"/>
    </row>
    <row r="116" spans="1:27" ht="14.25" customHeight="1">
      <c r="A116" s="2">
        <v>46178</v>
      </c>
      <c r="B116" s="3" t="s">
        <v>81</v>
      </c>
      <c r="C116" s="3" t="s">
        <v>50</v>
      </c>
      <c r="D116" s="3" t="s">
        <v>136</v>
      </c>
      <c r="E116" s="3" t="s">
        <v>511</v>
      </c>
      <c r="F116" s="3"/>
      <c r="G116" s="3" t="s">
        <v>19</v>
      </c>
      <c r="H116" s="3"/>
      <c r="I116" s="3" t="s">
        <v>20</v>
      </c>
      <c r="J116" s="3"/>
      <c r="K116" s="3" t="s">
        <v>28</v>
      </c>
      <c r="L116" s="3" t="s">
        <v>28</v>
      </c>
      <c r="M116" s="3" t="s">
        <v>512</v>
      </c>
      <c r="N116" s="3" t="s">
        <v>513</v>
      </c>
      <c r="O116" s="3" t="s">
        <v>514</v>
      </c>
      <c r="P116" s="3"/>
      <c r="Q116" s="3"/>
      <c r="R116" s="3"/>
      <c r="S116" s="3"/>
      <c r="T116" s="3"/>
      <c r="U116" s="3"/>
      <c r="V116" s="3"/>
      <c r="W116" s="3"/>
      <c r="X116" s="3"/>
      <c r="Y116" s="3"/>
      <c r="Z116" s="3"/>
      <c r="AA116" s="3"/>
    </row>
    <row r="117" spans="1:27" ht="14.25" customHeight="1">
      <c r="A117" s="2">
        <v>46178</v>
      </c>
      <c r="B117" s="3" t="s">
        <v>81</v>
      </c>
      <c r="C117" s="3" t="s">
        <v>50</v>
      </c>
      <c r="D117" s="3" t="s">
        <v>136</v>
      </c>
      <c r="E117" s="3" t="s">
        <v>515</v>
      </c>
      <c r="F117" s="3"/>
      <c r="G117" s="3" t="s">
        <v>19</v>
      </c>
      <c r="H117" s="3"/>
      <c r="I117" s="3" t="s">
        <v>45</v>
      </c>
      <c r="J117" s="3"/>
      <c r="K117" s="3" t="s">
        <v>21</v>
      </c>
      <c r="L117" s="3" t="s">
        <v>28</v>
      </c>
      <c r="M117" s="3" t="s">
        <v>516</v>
      </c>
      <c r="N117" s="3" t="s">
        <v>517</v>
      </c>
      <c r="O117" s="3" t="s">
        <v>518</v>
      </c>
      <c r="P117" s="3"/>
      <c r="Q117" s="3"/>
      <c r="R117" s="3"/>
      <c r="S117" s="3"/>
      <c r="T117" s="3"/>
      <c r="U117" s="3"/>
      <c r="V117" s="3"/>
      <c r="W117" s="3"/>
      <c r="X117" s="3"/>
      <c r="Y117" s="3"/>
      <c r="Z117" s="3"/>
      <c r="AA117" s="3"/>
    </row>
    <row r="118" spans="1:27" ht="14.25" customHeight="1">
      <c r="A118" s="2">
        <v>46178</v>
      </c>
      <c r="B118" s="3" t="s">
        <v>81</v>
      </c>
      <c r="C118" s="3" t="s">
        <v>82</v>
      </c>
      <c r="D118" s="3" t="s">
        <v>83</v>
      </c>
      <c r="E118" s="3" t="s">
        <v>519</v>
      </c>
      <c r="F118" s="3"/>
      <c r="G118" s="3" t="s">
        <v>19</v>
      </c>
      <c r="H118" s="3"/>
      <c r="I118" s="3" t="s">
        <v>20</v>
      </c>
      <c r="J118" s="3"/>
      <c r="K118" s="3" t="s">
        <v>21</v>
      </c>
      <c r="L118" s="3" t="s">
        <v>21</v>
      </c>
      <c r="M118" s="3" t="s">
        <v>520</v>
      </c>
      <c r="N118" s="3" t="s">
        <v>521</v>
      </c>
      <c r="O118" s="3" t="s">
        <v>522</v>
      </c>
      <c r="P118" s="3" t="s">
        <v>523</v>
      </c>
      <c r="Q118" s="3"/>
      <c r="R118" s="3"/>
      <c r="S118" s="3"/>
      <c r="T118" s="3"/>
      <c r="U118" s="3"/>
      <c r="V118" s="3"/>
      <c r="W118" s="3"/>
      <c r="X118" s="3"/>
      <c r="Y118" s="3"/>
      <c r="Z118" s="3"/>
      <c r="AA118" s="3"/>
    </row>
    <row r="119" spans="1:27" ht="14.25" customHeight="1">
      <c r="A119" s="2">
        <v>46178</v>
      </c>
      <c r="B119" s="3" t="s">
        <v>81</v>
      </c>
      <c r="C119" s="3" t="s">
        <v>82</v>
      </c>
      <c r="D119" s="3" t="s">
        <v>95</v>
      </c>
      <c r="E119" s="3" t="s">
        <v>524</v>
      </c>
      <c r="F119" s="3"/>
      <c r="G119" s="3" t="s">
        <v>19</v>
      </c>
      <c r="H119" s="3"/>
      <c r="I119" s="3" t="s">
        <v>20</v>
      </c>
      <c r="J119" s="3"/>
      <c r="K119" s="3" t="s">
        <v>21</v>
      </c>
      <c r="L119" s="3" t="s">
        <v>28</v>
      </c>
      <c r="M119" s="3" t="s">
        <v>525</v>
      </c>
      <c r="N119" s="3" t="s">
        <v>526</v>
      </c>
      <c r="O119" s="3" t="s">
        <v>444</v>
      </c>
      <c r="P119" s="3"/>
      <c r="Q119" s="3"/>
      <c r="R119" s="3"/>
      <c r="S119" s="3"/>
      <c r="T119" s="3"/>
      <c r="U119" s="3"/>
      <c r="V119" s="3"/>
      <c r="W119" s="3"/>
      <c r="X119" s="3"/>
      <c r="Y119" s="3"/>
      <c r="Z119" s="3"/>
      <c r="AA119" s="3"/>
    </row>
    <row r="120" spans="1:27" ht="14.25" customHeight="1">
      <c r="A120" s="2">
        <v>46178</v>
      </c>
      <c r="B120" s="3" t="s">
        <v>81</v>
      </c>
      <c r="C120" s="3" t="s">
        <v>82</v>
      </c>
      <c r="D120" s="3" t="s">
        <v>83</v>
      </c>
      <c r="E120" s="3" t="s">
        <v>527</v>
      </c>
      <c r="F120" s="3"/>
      <c r="G120" s="3" t="s">
        <v>19</v>
      </c>
      <c r="H120" s="3"/>
      <c r="I120" s="3" t="s">
        <v>20</v>
      </c>
      <c r="J120" s="3"/>
      <c r="K120" s="3" t="s">
        <v>21</v>
      </c>
      <c r="L120" s="3" t="s">
        <v>21</v>
      </c>
      <c r="M120" s="3" t="s">
        <v>528</v>
      </c>
      <c r="N120" s="3" t="s">
        <v>30</v>
      </c>
      <c r="O120" s="3" t="s">
        <v>30</v>
      </c>
      <c r="P120" s="3"/>
      <c r="Q120" s="3"/>
      <c r="R120" s="3"/>
      <c r="S120" s="3"/>
      <c r="T120" s="3"/>
      <c r="U120" s="3"/>
      <c r="V120" s="3"/>
      <c r="W120" s="3"/>
      <c r="X120" s="3"/>
      <c r="Y120" s="3"/>
      <c r="Z120" s="3"/>
      <c r="AA120" s="3"/>
    </row>
    <row r="121" spans="1:27" ht="14.25" customHeight="1">
      <c r="A121" s="2">
        <v>46178</v>
      </c>
      <c r="B121" s="3" t="s">
        <v>81</v>
      </c>
      <c r="C121" s="3" t="s">
        <v>82</v>
      </c>
      <c r="D121" s="3" t="s">
        <v>95</v>
      </c>
      <c r="E121" s="3" t="s">
        <v>529</v>
      </c>
      <c r="F121" s="3"/>
      <c r="G121" s="3" t="s">
        <v>19</v>
      </c>
      <c r="H121" s="3"/>
      <c r="I121" s="3" t="s">
        <v>20</v>
      </c>
      <c r="J121" s="3"/>
      <c r="K121" s="3" t="s">
        <v>21</v>
      </c>
      <c r="L121" s="3" t="s">
        <v>21</v>
      </c>
      <c r="M121" s="3" t="s">
        <v>530</v>
      </c>
      <c r="N121" s="3" t="s">
        <v>531</v>
      </c>
      <c r="O121" s="3" t="s">
        <v>532</v>
      </c>
      <c r="P121" s="3" t="s">
        <v>48</v>
      </c>
      <c r="Q121" s="3"/>
      <c r="R121" s="3"/>
      <c r="S121" s="3"/>
      <c r="T121" s="3"/>
      <c r="U121" s="3"/>
      <c r="V121" s="3"/>
      <c r="W121" s="3"/>
      <c r="X121" s="3"/>
      <c r="Y121" s="3"/>
      <c r="Z121" s="3"/>
      <c r="AA121" s="3"/>
    </row>
    <row r="122" spans="1:27" ht="14.25" customHeight="1">
      <c r="A122" s="2">
        <v>46178</v>
      </c>
      <c r="B122" s="3" t="s">
        <v>81</v>
      </c>
      <c r="C122" s="3" t="s">
        <v>82</v>
      </c>
      <c r="D122" s="3" t="s">
        <v>475</v>
      </c>
      <c r="E122" s="3" t="s">
        <v>533</v>
      </c>
      <c r="F122" s="3"/>
      <c r="G122" s="3" t="s">
        <v>19</v>
      </c>
      <c r="H122" s="3"/>
      <c r="I122" s="3" t="s">
        <v>20</v>
      </c>
      <c r="J122" s="3"/>
      <c r="K122" s="3" t="s">
        <v>21</v>
      </c>
      <c r="L122" s="3" t="s">
        <v>21</v>
      </c>
      <c r="M122" s="3" t="s">
        <v>534</v>
      </c>
      <c r="N122" s="3" t="s">
        <v>535</v>
      </c>
      <c r="O122" s="3" t="s">
        <v>536</v>
      </c>
      <c r="P122" s="3" t="s">
        <v>30</v>
      </c>
      <c r="Q122" s="3"/>
      <c r="R122" s="3"/>
      <c r="S122" s="3"/>
      <c r="T122" s="3"/>
      <c r="U122" s="3"/>
      <c r="V122" s="3"/>
      <c r="W122" s="3"/>
      <c r="X122" s="3"/>
      <c r="Y122" s="3"/>
      <c r="Z122" s="3"/>
      <c r="AA122" s="3"/>
    </row>
    <row r="123" spans="1:27" ht="14.25" customHeight="1">
      <c r="A123" s="2">
        <v>46178</v>
      </c>
      <c r="B123" s="3" t="s">
        <v>72</v>
      </c>
      <c r="C123" s="3" t="s">
        <v>73</v>
      </c>
      <c r="D123" s="3" t="s">
        <v>72</v>
      </c>
      <c r="E123" s="3" t="s">
        <v>537</v>
      </c>
      <c r="F123" s="3"/>
      <c r="G123" s="3" t="s">
        <v>19</v>
      </c>
      <c r="H123" s="3"/>
      <c r="I123" s="3" t="s">
        <v>45</v>
      </c>
      <c r="J123" s="3"/>
      <c r="K123" s="3" t="s">
        <v>28</v>
      </c>
      <c r="L123" s="3" t="s">
        <v>28</v>
      </c>
      <c r="M123" s="3" t="s">
        <v>538</v>
      </c>
      <c r="N123" s="3" t="s">
        <v>539</v>
      </c>
      <c r="O123" s="3" t="s">
        <v>540</v>
      </c>
      <c r="P123" s="3" t="s">
        <v>541</v>
      </c>
      <c r="Q123" s="3"/>
      <c r="R123" s="3"/>
      <c r="S123" s="3"/>
      <c r="T123" s="3"/>
      <c r="U123" s="3"/>
      <c r="V123" s="3"/>
      <c r="W123" s="3"/>
      <c r="X123" s="3"/>
      <c r="Y123" s="3"/>
      <c r="Z123" s="3"/>
      <c r="AA123" s="3"/>
    </row>
    <row r="124" spans="1:27" ht="14.25" customHeight="1">
      <c r="A124" s="2">
        <v>46178</v>
      </c>
      <c r="B124" s="3" t="s">
        <v>81</v>
      </c>
      <c r="C124" s="3" t="s">
        <v>82</v>
      </c>
      <c r="D124" s="3" t="s">
        <v>95</v>
      </c>
      <c r="E124" s="3" t="s">
        <v>542</v>
      </c>
      <c r="F124" s="3"/>
      <c r="G124" s="3" t="s">
        <v>19</v>
      </c>
      <c r="H124" s="3"/>
      <c r="I124" s="3" t="s">
        <v>20</v>
      </c>
      <c r="J124" s="3"/>
      <c r="K124" s="3" t="s">
        <v>28</v>
      </c>
      <c r="L124" s="3" t="s">
        <v>28</v>
      </c>
      <c r="M124" s="3" t="s">
        <v>543</v>
      </c>
      <c r="N124" s="3" t="s">
        <v>544</v>
      </c>
      <c r="O124" s="3" t="s">
        <v>545</v>
      </c>
      <c r="P124" s="3"/>
      <c r="Q124" s="3"/>
      <c r="R124" s="3"/>
      <c r="S124" s="3"/>
      <c r="T124" s="3"/>
      <c r="U124" s="3"/>
      <c r="V124" s="3"/>
      <c r="W124" s="3"/>
      <c r="X124" s="3"/>
      <c r="Y124" s="3"/>
      <c r="Z124" s="3"/>
      <c r="AA124" s="3"/>
    </row>
    <row r="125" spans="1:27" ht="14.25" customHeight="1">
      <c r="A125" s="2">
        <v>46178</v>
      </c>
      <c r="B125" s="3" t="s">
        <v>81</v>
      </c>
      <c r="C125" s="3" t="s">
        <v>82</v>
      </c>
      <c r="D125" s="3" t="s">
        <v>95</v>
      </c>
      <c r="E125" s="3" t="s">
        <v>546</v>
      </c>
      <c r="F125" s="3"/>
      <c r="G125" s="3" t="s">
        <v>19</v>
      </c>
      <c r="H125" s="3"/>
      <c r="I125" s="3" t="s">
        <v>20</v>
      </c>
      <c r="J125" s="3"/>
      <c r="K125" s="3" t="s">
        <v>21</v>
      </c>
      <c r="L125" s="3" t="s">
        <v>21</v>
      </c>
      <c r="M125" s="3" t="s">
        <v>547</v>
      </c>
      <c r="N125" s="3" t="s">
        <v>548</v>
      </c>
      <c r="O125" s="3" t="s">
        <v>549</v>
      </c>
      <c r="P125" s="3" t="s">
        <v>92</v>
      </c>
      <c r="Q125" s="3"/>
      <c r="R125" s="3"/>
      <c r="S125" s="3"/>
      <c r="T125" s="3"/>
      <c r="U125" s="3"/>
      <c r="V125" s="3"/>
      <c r="W125" s="3"/>
      <c r="X125" s="3"/>
      <c r="Y125" s="3"/>
      <c r="Z125" s="3"/>
      <c r="AA125" s="3"/>
    </row>
    <row r="126" spans="1:27" ht="14.25" customHeight="1">
      <c r="A126" s="2">
        <v>46178</v>
      </c>
      <c r="B126" s="3" t="s">
        <v>81</v>
      </c>
      <c r="C126" s="3" t="s">
        <v>82</v>
      </c>
      <c r="D126" s="3" t="s">
        <v>95</v>
      </c>
      <c r="E126" s="3" t="s">
        <v>550</v>
      </c>
      <c r="F126" s="3"/>
      <c r="G126" s="3" t="s">
        <v>19</v>
      </c>
      <c r="H126" s="3"/>
      <c r="I126" s="3" t="s">
        <v>20</v>
      </c>
      <c r="J126" s="3"/>
      <c r="K126" s="3" t="s">
        <v>21</v>
      </c>
      <c r="L126" s="3" t="s">
        <v>28</v>
      </c>
      <c r="M126" s="3" t="s">
        <v>551</v>
      </c>
      <c r="N126" s="3" t="s">
        <v>30</v>
      </c>
      <c r="O126" s="3" t="s">
        <v>552</v>
      </c>
      <c r="P126" s="3" t="s">
        <v>30</v>
      </c>
      <c r="Q126" s="3"/>
      <c r="R126" s="3"/>
      <c r="S126" s="3"/>
      <c r="T126" s="3"/>
      <c r="U126" s="3"/>
      <c r="V126" s="3"/>
      <c r="W126" s="3"/>
      <c r="X126" s="3"/>
      <c r="Y126" s="3"/>
      <c r="Z126" s="3"/>
      <c r="AA126" s="3"/>
    </row>
    <row r="127" spans="1:27" ht="14.25" customHeight="1">
      <c r="A127" s="2">
        <v>46178</v>
      </c>
      <c r="B127" s="3" t="s">
        <v>15</v>
      </c>
      <c r="C127" s="3" t="s">
        <v>33</v>
      </c>
      <c r="D127" s="3" t="s">
        <v>553</v>
      </c>
      <c r="E127" s="3" t="s">
        <v>554</v>
      </c>
      <c r="F127" s="3"/>
      <c r="G127" s="3" t="s">
        <v>19</v>
      </c>
      <c r="H127" s="3"/>
      <c r="I127" s="3" t="s">
        <v>20</v>
      </c>
      <c r="J127" s="3"/>
      <c r="K127" s="3" t="s">
        <v>21</v>
      </c>
      <c r="L127" s="3" t="s">
        <v>21</v>
      </c>
      <c r="M127" s="3" t="s">
        <v>555</v>
      </c>
      <c r="N127" s="3" t="s">
        <v>556</v>
      </c>
      <c r="O127" s="3" t="s">
        <v>56</v>
      </c>
      <c r="P127" s="3" t="s">
        <v>56</v>
      </c>
      <c r="Q127" s="3"/>
      <c r="R127" s="3"/>
      <c r="S127" s="3"/>
      <c r="T127" s="3"/>
      <c r="U127" s="3"/>
      <c r="V127" s="3"/>
      <c r="W127" s="3"/>
      <c r="X127" s="3"/>
      <c r="Y127" s="3"/>
      <c r="Z127" s="3"/>
      <c r="AA127" s="3"/>
    </row>
    <row r="128" spans="1:27" ht="14.25" customHeight="1">
      <c r="A128" s="2">
        <v>46178</v>
      </c>
      <c r="B128" s="3" t="s">
        <v>81</v>
      </c>
      <c r="C128" s="3" t="s">
        <v>50</v>
      </c>
      <c r="D128" s="3" t="s">
        <v>196</v>
      </c>
      <c r="E128" s="3" t="s">
        <v>557</v>
      </c>
      <c r="F128" s="3"/>
      <c r="G128" s="3" t="s">
        <v>19</v>
      </c>
      <c r="H128" s="3"/>
      <c r="I128" s="3" t="s">
        <v>20</v>
      </c>
      <c r="J128" s="3"/>
      <c r="K128" s="3" t="s">
        <v>28</v>
      </c>
      <c r="L128" s="3" t="s">
        <v>28</v>
      </c>
      <c r="M128" s="3" t="s">
        <v>558</v>
      </c>
      <c r="N128" s="3" t="s">
        <v>30</v>
      </c>
      <c r="O128" s="3" t="s">
        <v>30</v>
      </c>
      <c r="P128" s="3" t="s">
        <v>48</v>
      </c>
      <c r="Q128" s="3"/>
      <c r="R128" s="3"/>
      <c r="S128" s="3"/>
      <c r="T128" s="3"/>
      <c r="U128" s="3"/>
      <c r="V128" s="3"/>
      <c r="W128" s="3"/>
      <c r="X128" s="3"/>
      <c r="Y128" s="3"/>
      <c r="Z128" s="3"/>
      <c r="AA128" s="3"/>
    </row>
    <row r="129" spans="1:27" ht="14.25" customHeight="1">
      <c r="A129" s="2">
        <v>46178</v>
      </c>
      <c r="B129" s="3" t="s">
        <v>111</v>
      </c>
      <c r="C129" s="3" t="s">
        <v>112</v>
      </c>
      <c r="D129" s="3" t="s">
        <v>145</v>
      </c>
      <c r="E129" s="3" t="s">
        <v>559</v>
      </c>
      <c r="F129" s="3"/>
      <c r="G129" s="3" t="s">
        <v>19</v>
      </c>
      <c r="H129" s="3"/>
      <c r="I129" s="3" t="s">
        <v>45</v>
      </c>
      <c r="J129" s="3"/>
      <c r="K129" s="3" t="s">
        <v>21</v>
      </c>
      <c r="L129" s="3" t="s">
        <v>28</v>
      </c>
      <c r="M129" s="3" t="s">
        <v>560</v>
      </c>
      <c r="N129" s="3" t="s">
        <v>561</v>
      </c>
      <c r="O129" s="3" t="s">
        <v>562</v>
      </c>
      <c r="P129" s="3" t="s">
        <v>30</v>
      </c>
      <c r="Q129" s="3"/>
      <c r="R129" s="3"/>
      <c r="S129" s="3"/>
      <c r="T129" s="3"/>
      <c r="U129" s="3"/>
      <c r="V129" s="3"/>
      <c r="W129" s="3"/>
      <c r="X129" s="3"/>
      <c r="Y129" s="3"/>
      <c r="Z129" s="3"/>
      <c r="AA129" s="3"/>
    </row>
    <row r="130" spans="1:27" ht="14.25" customHeight="1">
      <c r="A130" s="2">
        <v>46178</v>
      </c>
      <c r="B130" s="3" t="s">
        <v>81</v>
      </c>
      <c r="C130" s="3" t="s">
        <v>82</v>
      </c>
      <c r="D130" s="3" t="s">
        <v>95</v>
      </c>
      <c r="E130" s="3" t="s">
        <v>563</v>
      </c>
      <c r="F130" s="3"/>
      <c r="G130" s="3" t="s">
        <v>19</v>
      </c>
      <c r="H130" s="3"/>
      <c r="I130" s="3" t="s">
        <v>20</v>
      </c>
      <c r="J130" s="3"/>
      <c r="K130" s="3" t="s">
        <v>28</v>
      </c>
      <c r="L130" s="3" t="s">
        <v>21</v>
      </c>
      <c r="M130" s="3" t="s">
        <v>564</v>
      </c>
      <c r="N130" s="3" t="s">
        <v>565</v>
      </c>
      <c r="O130" s="3" t="s">
        <v>566</v>
      </c>
      <c r="P130" s="3"/>
      <c r="Q130" s="3"/>
      <c r="R130" s="3"/>
      <c r="S130" s="3"/>
      <c r="T130" s="3"/>
      <c r="U130" s="3"/>
      <c r="V130" s="3"/>
      <c r="W130" s="3"/>
      <c r="X130" s="3"/>
      <c r="Y130" s="3"/>
      <c r="Z130" s="3"/>
      <c r="AA130" s="3"/>
    </row>
    <row r="131" spans="1:27" ht="14.25" customHeight="1">
      <c r="A131" s="2">
        <v>46178</v>
      </c>
      <c r="B131" s="3" t="s">
        <v>81</v>
      </c>
      <c r="C131" s="3" t="s">
        <v>82</v>
      </c>
      <c r="D131" s="3" t="s">
        <v>475</v>
      </c>
      <c r="E131" s="3" t="s">
        <v>567</v>
      </c>
      <c r="F131" s="3"/>
      <c r="G131" s="3" t="s">
        <v>19</v>
      </c>
      <c r="H131" s="3"/>
      <c r="I131" s="3" t="s">
        <v>20</v>
      </c>
      <c r="J131" s="3"/>
      <c r="K131" s="3" t="s">
        <v>21</v>
      </c>
      <c r="L131" s="3" t="s">
        <v>21</v>
      </c>
      <c r="M131" s="3" t="s">
        <v>568</v>
      </c>
      <c r="N131" s="3" t="s">
        <v>569</v>
      </c>
      <c r="O131" s="3" t="s">
        <v>570</v>
      </c>
      <c r="P131" s="3" t="s">
        <v>30</v>
      </c>
      <c r="Q131" s="3"/>
      <c r="R131" s="3"/>
      <c r="S131" s="3"/>
      <c r="T131" s="3"/>
      <c r="U131" s="3"/>
      <c r="V131" s="3"/>
      <c r="W131" s="3"/>
      <c r="X131" s="3"/>
      <c r="Y131" s="3"/>
      <c r="Z131" s="3"/>
      <c r="AA131" s="3"/>
    </row>
    <row r="132" spans="1:27" ht="14.25" customHeight="1">
      <c r="A132" s="2">
        <v>46178</v>
      </c>
      <c r="B132" s="3" t="s">
        <v>111</v>
      </c>
      <c r="C132" s="3" t="s">
        <v>112</v>
      </c>
      <c r="D132" s="3" t="s">
        <v>145</v>
      </c>
      <c r="E132" s="3" t="s">
        <v>571</v>
      </c>
      <c r="F132" s="3"/>
      <c r="G132" s="3" t="s">
        <v>19</v>
      </c>
      <c r="H132" s="3"/>
      <c r="I132" s="3" t="s">
        <v>20</v>
      </c>
      <c r="J132" s="3"/>
      <c r="K132" s="3" t="s">
        <v>21</v>
      </c>
      <c r="L132" s="3" t="s">
        <v>21</v>
      </c>
      <c r="M132" s="3" t="s">
        <v>572</v>
      </c>
      <c r="N132" s="3" t="s">
        <v>573</v>
      </c>
      <c r="O132" s="3" t="s">
        <v>574</v>
      </c>
      <c r="P132" s="3" t="s">
        <v>575</v>
      </c>
      <c r="Q132" s="3"/>
      <c r="R132" s="3"/>
      <c r="S132" s="3"/>
      <c r="T132" s="3"/>
      <c r="U132" s="3"/>
      <c r="V132" s="3"/>
      <c r="W132" s="3"/>
      <c r="X132" s="3"/>
      <c r="Y132" s="3"/>
      <c r="Z132" s="3"/>
      <c r="AA132" s="3"/>
    </row>
    <row r="133" spans="1:27" ht="14.25" customHeight="1">
      <c r="A133" s="2">
        <v>46178</v>
      </c>
      <c r="B133" s="3" t="s">
        <v>81</v>
      </c>
      <c r="C133" s="3" t="s">
        <v>82</v>
      </c>
      <c r="D133" s="3" t="s">
        <v>475</v>
      </c>
      <c r="E133" s="3" t="s">
        <v>576</v>
      </c>
      <c r="F133" s="3"/>
      <c r="G133" s="3" t="s">
        <v>19</v>
      </c>
      <c r="H133" s="3"/>
      <c r="I133" s="3" t="s">
        <v>20</v>
      </c>
      <c r="J133" s="3"/>
      <c r="K133" s="3" t="s">
        <v>28</v>
      </c>
      <c r="L133" s="3" t="s">
        <v>28</v>
      </c>
      <c r="M133" s="3" t="s">
        <v>577</v>
      </c>
      <c r="N133" s="3" t="s">
        <v>578</v>
      </c>
      <c r="O133" s="3" t="s">
        <v>48</v>
      </c>
      <c r="P133" s="3" t="s">
        <v>48</v>
      </c>
      <c r="Q133" s="3"/>
      <c r="R133" s="3"/>
      <c r="S133" s="3"/>
      <c r="T133" s="3"/>
      <c r="U133" s="3"/>
      <c r="V133" s="3"/>
      <c r="W133" s="3"/>
      <c r="X133" s="3"/>
      <c r="Y133" s="3"/>
      <c r="Z133" s="3"/>
      <c r="AA133" s="3"/>
    </row>
    <row r="134" spans="1:27" ht="14.25" customHeight="1">
      <c r="A134" s="2">
        <v>46178</v>
      </c>
      <c r="B134" s="3" t="s">
        <v>81</v>
      </c>
      <c r="C134" s="3" t="s">
        <v>82</v>
      </c>
      <c r="D134" s="3" t="s">
        <v>475</v>
      </c>
      <c r="E134" s="3" t="s">
        <v>579</v>
      </c>
      <c r="F134" s="3"/>
      <c r="G134" s="3" t="s">
        <v>19</v>
      </c>
      <c r="H134" s="3"/>
      <c r="I134" s="3" t="s">
        <v>20</v>
      </c>
      <c r="J134" s="3"/>
      <c r="K134" s="3" t="s">
        <v>21</v>
      </c>
      <c r="L134" s="3" t="s">
        <v>21</v>
      </c>
      <c r="M134" s="3" t="s">
        <v>580</v>
      </c>
      <c r="N134" s="3" t="s">
        <v>581</v>
      </c>
      <c r="O134" s="3" t="s">
        <v>582</v>
      </c>
      <c r="P134" s="3" t="s">
        <v>583</v>
      </c>
      <c r="Q134" s="3"/>
      <c r="R134" s="3"/>
      <c r="S134" s="3"/>
      <c r="T134" s="3"/>
      <c r="U134" s="3"/>
      <c r="V134" s="3"/>
      <c r="W134" s="3"/>
      <c r="X134" s="3"/>
      <c r="Y134" s="3"/>
      <c r="Z134" s="3"/>
      <c r="AA134" s="3"/>
    </row>
    <row r="135" spans="1:27" ht="14.25" customHeight="1">
      <c r="A135" s="2">
        <v>46178</v>
      </c>
      <c r="B135" s="3" t="s">
        <v>81</v>
      </c>
      <c r="C135" s="3" t="s">
        <v>50</v>
      </c>
      <c r="D135" s="3" t="s">
        <v>136</v>
      </c>
      <c r="E135" s="3" t="s">
        <v>584</v>
      </c>
      <c r="F135" s="3"/>
      <c r="G135" s="3" t="s">
        <v>19</v>
      </c>
      <c r="H135" s="3"/>
      <c r="I135" s="3" t="s">
        <v>20</v>
      </c>
      <c r="J135" s="3"/>
      <c r="K135" s="3" t="s">
        <v>21</v>
      </c>
      <c r="L135" s="3" t="s">
        <v>21</v>
      </c>
      <c r="M135" s="3" t="s">
        <v>585</v>
      </c>
      <c r="N135" s="3" t="s">
        <v>586</v>
      </c>
      <c r="O135" s="3" t="s">
        <v>587</v>
      </c>
      <c r="P135" s="3"/>
      <c r="Q135" s="3"/>
      <c r="R135" s="3"/>
      <c r="S135" s="3"/>
      <c r="T135" s="3"/>
      <c r="U135" s="3"/>
      <c r="V135" s="3"/>
      <c r="W135" s="3"/>
      <c r="X135" s="3"/>
      <c r="Y135" s="3"/>
      <c r="Z135" s="3"/>
      <c r="AA135" s="3"/>
    </row>
    <row r="136" spans="1:27" ht="14.25" customHeight="1">
      <c r="A136" s="2">
        <v>46178</v>
      </c>
      <c r="B136" s="3" t="s">
        <v>81</v>
      </c>
      <c r="C136" s="3" t="s">
        <v>50</v>
      </c>
      <c r="D136" s="3" t="s">
        <v>136</v>
      </c>
      <c r="E136" s="3" t="s">
        <v>588</v>
      </c>
      <c r="F136" s="3"/>
      <c r="G136" s="3" t="s">
        <v>19</v>
      </c>
      <c r="H136" s="3"/>
      <c r="I136" s="3" t="s">
        <v>20</v>
      </c>
      <c r="J136" s="3"/>
      <c r="K136" s="3" t="s">
        <v>21</v>
      </c>
      <c r="L136" s="3" t="s">
        <v>28</v>
      </c>
      <c r="M136" s="3" t="s">
        <v>589</v>
      </c>
      <c r="N136" s="3" t="s">
        <v>590</v>
      </c>
      <c r="O136" s="3" t="s">
        <v>591</v>
      </c>
      <c r="P136" s="3" t="s">
        <v>592</v>
      </c>
      <c r="Q136" s="3"/>
      <c r="R136" s="3"/>
      <c r="S136" s="3"/>
      <c r="T136" s="3"/>
      <c r="U136" s="3"/>
      <c r="V136" s="3"/>
      <c r="W136" s="3"/>
      <c r="X136" s="3"/>
      <c r="Y136" s="3"/>
      <c r="Z136" s="3"/>
      <c r="AA136" s="3"/>
    </row>
    <row r="137" spans="1:27" ht="14.25" customHeight="1">
      <c r="A137" s="2">
        <v>46178</v>
      </c>
      <c r="B137" s="3" t="s">
        <v>81</v>
      </c>
      <c r="C137" s="3" t="s">
        <v>82</v>
      </c>
      <c r="D137" s="3" t="s">
        <v>475</v>
      </c>
      <c r="E137" s="3" t="s">
        <v>593</v>
      </c>
      <c r="F137" s="3"/>
      <c r="G137" s="3" t="s">
        <v>19</v>
      </c>
      <c r="H137" s="3"/>
      <c r="I137" s="3" t="s">
        <v>20</v>
      </c>
      <c r="J137" s="3"/>
      <c r="K137" s="3" t="s">
        <v>28</v>
      </c>
      <c r="L137" s="3" t="s">
        <v>21</v>
      </c>
      <c r="M137" s="3" t="s">
        <v>594</v>
      </c>
      <c r="N137" s="3" t="s">
        <v>48</v>
      </c>
      <c r="O137" s="3" t="s">
        <v>595</v>
      </c>
      <c r="P137" s="3" t="s">
        <v>48</v>
      </c>
      <c r="Q137" s="3"/>
      <c r="R137" s="3"/>
      <c r="S137" s="3"/>
      <c r="T137" s="3"/>
      <c r="U137" s="3"/>
      <c r="V137" s="3"/>
      <c r="W137" s="3"/>
      <c r="X137" s="3"/>
      <c r="Y137" s="3"/>
      <c r="Z137" s="3"/>
      <c r="AA137" s="3"/>
    </row>
    <row r="138" spans="1:27" ht="14.25" customHeight="1">
      <c r="A138" s="2">
        <v>46178</v>
      </c>
      <c r="B138" s="3" t="s">
        <v>15</v>
      </c>
      <c r="C138" s="3" t="s">
        <v>33</v>
      </c>
      <c r="D138" s="3" t="s">
        <v>34</v>
      </c>
      <c r="E138" s="3" t="s">
        <v>596</v>
      </c>
      <c r="F138" s="3"/>
      <c r="G138" s="3" t="s">
        <v>19</v>
      </c>
      <c r="H138" s="3"/>
      <c r="I138" s="3" t="s">
        <v>20</v>
      </c>
      <c r="J138" s="3" t="s">
        <v>21</v>
      </c>
      <c r="K138" s="3" t="s">
        <v>21</v>
      </c>
      <c r="L138" s="3" t="s">
        <v>21</v>
      </c>
      <c r="M138" s="3" t="s">
        <v>597</v>
      </c>
      <c r="N138" s="3" t="s">
        <v>598</v>
      </c>
      <c r="O138" s="3" t="s">
        <v>599</v>
      </c>
      <c r="P138" s="3" t="s">
        <v>30</v>
      </c>
      <c r="Q138" s="3"/>
      <c r="R138" s="3"/>
      <c r="S138" s="3"/>
      <c r="T138" s="3"/>
      <c r="U138" s="3"/>
      <c r="V138" s="3"/>
      <c r="W138" s="3"/>
      <c r="X138" s="3"/>
      <c r="Y138" s="3"/>
      <c r="Z138" s="3"/>
      <c r="AA138" s="3"/>
    </row>
    <row r="139" spans="1:27" ht="14.25" customHeight="1">
      <c r="A139" s="2">
        <v>46178</v>
      </c>
      <c r="B139" s="3" t="s">
        <v>81</v>
      </c>
      <c r="C139" s="3" t="s">
        <v>82</v>
      </c>
      <c r="D139" s="3" t="s">
        <v>83</v>
      </c>
      <c r="E139" s="3" t="s">
        <v>600</v>
      </c>
      <c r="F139" s="3"/>
      <c r="G139" s="3" t="s">
        <v>19</v>
      </c>
      <c r="H139" s="3"/>
      <c r="I139" s="3" t="s">
        <v>20</v>
      </c>
      <c r="J139" s="3"/>
      <c r="K139" s="3" t="s">
        <v>21</v>
      </c>
      <c r="L139" s="3" t="s">
        <v>28</v>
      </c>
      <c r="M139" s="3" t="s">
        <v>601</v>
      </c>
      <c r="N139" s="3" t="s">
        <v>513</v>
      </c>
      <c r="O139" s="3" t="s">
        <v>602</v>
      </c>
      <c r="P139" s="3" t="s">
        <v>30</v>
      </c>
      <c r="Q139" s="3"/>
      <c r="R139" s="3"/>
      <c r="S139" s="3"/>
      <c r="T139" s="3"/>
      <c r="U139" s="3"/>
      <c r="V139" s="3"/>
      <c r="W139" s="3"/>
      <c r="X139" s="3"/>
      <c r="Y139" s="3"/>
      <c r="Z139" s="3"/>
      <c r="AA139" s="3"/>
    </row>
    <row r="140" spans="1:27" ht="14.25" customHeight="1">
      <c r="A140" s="2">
        <v>46178</v>
      </c>
      <c r="B140" s="3" t="s">
        <v>81</v>
      </c>
      <c r="C140" s="3" t="s">
        <v>82</v>
      </c>
      <c r="D140" s="3" t="s">
        <v>288</v>
      </c>
      <c r="E140" s="3" t="s">
        <v>603</v>
      </c>
      <c r="F140" s="3"/>
      <c r="G140" s="3" t="s">
        <v>19</v>
      </c>
      <c r="H140" s="3"/>
      <c r="I140" s="3" t="s">
        <v>20</v>
      </c>
      <c r="J140" s="3"/>
      <c r="K140" s="3" t="s">
        <v>604</v>
      </c>
      <c r="L140" s="3" t="s">
        <v>604</v>
      </c>
      <c r="M140" s="3" t="s">
        <v>605</v>
      </c>
      <c r="N140" s="3" t="s">
        <v>606</v>
      </c>
      <c r="O140" s="3" t="s">
        <v>30</v>
      </c>
      <c r="P140" s="3" t="s">
        <v>30</v>
      </c>
      <c r="Q140" s="3"/>
      <c r="R140" s="3"/>
      <c r="S140" s="3"/>
      <c r="T140" s="3"/>
      <c r="U140" s="3"/>
      <c r="V140" s="3"/>
      <c r="W140" s="3"/>
      <c r="X140" s="3"/>
      <c r="Y140" s="3"/>
      <c r="Z140" s="3"/>
      <c r="AA140" s="3"/>
    </row>
    <row r="141" spans="1:27" ht="14.25" customHeight="1">
      <c r="A141" s="2">
        <v>46178</v>
      </c>
      <c r="B141" s="3" t="s">
        <v>81</v>
      </c>
      <c r="C141" s="3" t="s">
        <v>50</v>
      </c>
      <c r="D141" s="3" t="s">
        <v>136</v>
      </c>
      <c r="E141" s="3" t="s">
        <v>607</v>
      </c>
      <c r="F141" s="3"/>
      <c r="G141" s="3" t="s">
        <v>19</v>
      </c>
      <c r="H141" s="3"/>
      <c r="I141" s="3" t="s">
        <v>20</v>
      </c>
      <c r="J141" s="3"/>
      <c r="K141" s="3" t="s">
        <v>28</v>
      </c>
      <c r="L141" s="3" t="s">
        <v>28</v>
      </c>
      <c r="M141" s="3" t="s">
        <v>608</v>
      </c>
      <c r="N141" s="3" t="s">
        <v>609</v>
      </c>
      <c r="O141" s="3" t="s">
        <v>610</v>
      </c>
      <c r="P141" s="3"/>
      <c r="Q141" s="3"/>
      <c r="R141" s="3"/>
      <c r="S141" s="3"/>
      <c r="T141" s="3"/>
      <c r="U141" s="3"/>
      <c r="V141" s="3"/>
      <c r="W141" s="3"/>
      <c r="X141" s="3"/>
      <c r="Y141" s="3"/>
      <c r="Z141" s="3"/>
      <c r="AA141" s="3"/>
    </row>
    <row r="142" spans="1:27" ht="14.25" customHeight="1">
      <c r="A142" s="2">
        <v>46178</v>
      </c>
      <c r="B142" s="3" t="s">
        <v>81</v>
      </c>
      <c r="C142" s="3" t="s">
        <v>82</v>
      </c>
      <c r="D142" s="3" t="s">
        <v>83</v>
      </c>
      <c r="E142" s="3" t="s">
        <v>611</v>
      </c>
      <c r="F142" s="3"/>
      <c r="G142" s="3" t="s">
        <v>19</v>
      </c>
      <c r="H142" s="3"/>
      <c r="I142" s="3" t="s">
        <v>20</v>
      </c>
      <c r="J142" s="3"/>
      <c r="K142" s="3" t="s">
        <v>28</v>
      </c>
      <c r="L142" s="3" t="s">
        <v>28</v>
      </c>
      <c r="M142" s="3" t="s">
        <v>612</v>
      </c>
      <c r="N142" s="3" t="s">
        <v>613</v>
      </c>
      <c r="O142" s="3" t="s">
        <v>614</v>
      </c>
      <c r="P142" s="3" t="s">
        <v>615</v>
      </c>
      <c r="Q142" s="3"/>
      <c r="R142" s="3"/>
      <c r="S142" s="3"/>
      <c r="T142" s="3"/>
      <c r="U142" s="3"/>
      <c r="V142" s="3"/>
      <c r="W142" s="3"/>
      <c r="X142" s="3"/>
      <c r="Y142" s="3"/>
      <c r="Z142" s="3"/>
      <c r="AA142" s="3"/>
    </row>
    <row r="143" spans="1:27" ht="14.25" customHeight="1">
      <c r="A143" s="2">
        <v>46178</v>
      </c>
      <c r="B143" s="3" t="s">
        <v>81</v>
      </c>
      <c r="C143" s="3" t="s">
        <v>82</v>
      </c>
      <c r="D143" s="3" t="s">
        <v>83</v>
      </c>
      <c r="E143" s="3" t="s">
        <v>616</v>
      </c>
      <c r="F143" s="3"/>
      <c r="G143" s="3" t="s">
        <v>19</v>
      </c>
      <c r="H143" s="3"/>
      <c r="I143" s="3" t="s">
        <v>20</v>
      </c>
      <c r="J143" s="3"/>
      <c r="K143" s="3" t="s">
        <v>21</v>
      </c>
      <c r="L143" s="3" t="s">
        <v>21</v>
      </c>
      <c r="M143" s="3" t="s">
        <v>617</v>
      </c>
      <c r="N143" s="3" t="s">
        <v>618</v>
      </c>
      <c r="O143" s="3" t="s">
        <v>619</v>
      </c>
      <c r="P143" s="3" t="s">
        <v>30</v>
      </c>
      <c r="Q143" s="3"/>
      <c r="R143" s="3"/>
      <c r="S143" s="3"/>
      <c r="T143" s="3"/>
      <c r="U143" s="3"/>
      <c r="V143" s="3"/>
      <c r="W143" s="3"/>
      <c r="X143" s="3"/>
      <c r="Y143" s="3"/>
      <c r="Z143" s="3"/>
      <c r="AA143" s="3"/>
    </row>
    <row r="144" spans="1:27" ht="14.25" customHeight="1">
      <c r="A144" s="2">
        <v>46178</v>
      </c>
      <c r="B144" s="3" t="s">
        <v>81</v>
      </c>
      <c r="C144" s="3" t="s">
        <v>82</v>
      </c>
      <c r="D144" s="3" t="s">
        <v>288</v>
      </c>
      <c r="E144" s="3" t="s">
        <v>620</v>
      </c>
      <c r="F144" s="3"/>
      <c r="G144" s="3" t="s">
        <v>19</v>
      </c>
      <c r="H144" s="3"/>
      <c r="I144" s="3" t="s">
        <v>20</v>
      </c>
      <c r="J144" s="3"/>
      <c r="K144" s="3" t="s">
        <v>21</v>
      </c>
      <c r="L144" s="3" t="s">
        <v>21</v>
      </c>
      <c r="M144" s="3" t="s">
        <v>621</v>
      </c>
      <c r="N144" s="3" t="s">
        <v>622</v>
      </c>
      <c r="O144" s="3" t="s">
        <v>48</v>
      </c>
      <c r="P144" s="3"/>
      <c r="Q144" s="3"/>
      <c r="R144" s="3"/>
      <c r="S144" s="3"/>
      <c r="T144" s="3"/>
      <c r="U144" s="3"/>
      <c r="V144" s="3"/>
      <c r="W144" s="3"/>
      <c r="X144" s="3"/>
      <c r="Y144" s="3"/>
      <c r="Z144" s="3"/>
      <c r="AA144" s="3"/>
    </row>
    <row r="145" spans="1:27" ht="14.25" customHeight="1">
      <c r="A145" s="2">
        <v>46178</v>
      </c>
      <c r="B145" s="3" t="s">
        <v>81</v>
      </c>
      <c r="C145" s="3" t="s">
        <v>82</v>
      </c>
      <c r="D145" s="3" t="s">
        <v>83</v>
      </c>
      <c r="E145" s="3" t="s">
        <v>623</v>
      </c>
      <c r="F145" s="3"/>
      <c r="G145" s="3" t="s">
        <v>19</v>
      </c>
      <c r="H145" s="3"/>
      <c r="I145" s="3" t="s">
        <v>20</v>
      </c>
      <c r="J145" s="3"/>
      <c r="K145" s="3" t="s">
        <v>28</v>
      </c>
      <c r="L145" s="3" t="s">
        <v>28</v>
      </c>
      <c r="M145" s="3" t="s">
        <v>624</v>
      </c>
      <c r="N145" s="3" t="s">
        <v>625</v>
      </c>
      <c r="O145" s="3" t="s">
        <v>281</v>
      </c>
      <c r="P145" s="3" t="s">
        <v>30</v>
      </c>
      <c r="Q145" s="3"/>
      <c r="R145" s="3"/>
      <c r="S145" s="3"/>
      <c r="T145" s="3"/>
      <c r="U145" s="3"/>
      <c r="V145" s="3"/>
      <c r="W145" s="3"/>
      <c r="X145" s="3"/>
      <c r="Y145" s="3"/>
      <c r="Z145" s="3"/>
      <c r="AA145" s="3"/>
    </row>
    <row r="146" spans="1:27" ht="14.25" customHeight="1">
      <c r="A146" s="2">
        <v>46178</v>
      </c>
      <c r="B146" s="3" t="s">
        <v>81</v>
      </c>
      <c r="C146" s="3" t="s">
        <v>82</v>
      </c>
      <c r="D146" s="3" t="s">
        <v>475</v>
      </c>
      <c r="E146" s="3" t="s">
        <v>626</v>
      </c>
      <c r="F146" s="3"/>
      <c r="G146" s="3" t="s">
        <v>19</v>
      </c>
      <c r="H146" s="3"/>
      <c r="I146" s="3" t="s">
        <v>20</v>
      </c>
      <c r="J146" s="3"/>
      <c r="K146" s="3" t="s">
        <v>28</v>
      </c>
      <c r="L146" s="3" t="s">
        <v>28</v>
      </c>
      <c r="M146" s="3" t="s">
        <v>627</v>
      </c>
      <c r="N146" s="3" t="s">
        <v>30</v>
      </c>
      <c r="O146" s="3" t="s">
        <v>30</v>
      </c>
      <c r="P146" s="3" t="s">
        <v>628</v>
      </c>
      <c r="Q146" s="3"/>
      <c r="R146" s="3"/>
      <c r="S146" s="3"/>
      <c r="T146" s="3"/>
      <c r="U146" s="3"/>
      <c r="V146" s="3"/>
      <c r="W146" s="3"/>
      <c r="X146" s="3"/>
      <c r="Y146" s="3"/>
      <c r="Z146" s="3"/>
      <c r="AA146" s="3"/>
    </row>
    <row r="147" spans="1:27" ht="14.25" customHeight="1">
      <c r="A147" s="2">
        <v>46178</v>
      </c>
      <c r="B147" s="3" t="s">
        <v>81</v>
      </c>
      <c r="C147" s="3" t="s">
        <v>82</v>
      </c>
      <c r="D147" s="3" t="s">
        <v>475</v>
      </c>
      <c r="E147" s="3" t="s">
        <v>629</v>
      </c>
      <c r="F147" s="3"/>
      <c r="G147" s="3" t="s">
        <v>19</v>
      </c>
      <c r="H147" s="3"/>
      <c r="I147" s="3" t="s">
        <v>20</v>
      </c>
      <c r="J147" s="3"/>
      <c r="K147" s="3" t="s">
        <v>21</v>
      </c>
      <c r="L147" s="3" t="s">
        <v>28</v>
      </c>
      <c r="M147" s="3" t="s">
        <v>630</v>
      </c>
      <c r="N147" s="3" t="s">
        <v>631</v>
      </c>
      <c r="O147" s="3" t="s">
        <v>30</v>
      </c>
      <c r="P147" s="3"/>
      <c r="Q147" s="3"/>
      <c r="R147" s="3"/>
      <c r="S147" s="3"/>
      <c r="T147" s="3"/>
      <c r="U147" s="3"/>
      <c r="V147" s="3"/>
      <c r="W147" s="3"/>
      <c r="X147" s="3"/>
      <c r="Y147" s="3"/>
      <c r="Z147" s="3"/>
      <c r="AA147" s="3"/>
    </row>
    <row r="148" spans="1:27" ht="14.25" customHeight="1">
      <c r="A148" s="2">
        <v>46178</v>
      </c>
      <c r="B148" s="3" t="s">
        <v>81</v>
      </c>
      <c r="C148" s="3" t="s">
        <v>82</v>
      </c>
      <c r="D148" s="3" t="s">
        <v>95</v>
      </c>
      <c r="E148" s="3" t="s">
        <v>632</v>
      </c>
      <c r="F148" s="3"/>
      <c r="G148" s="3" t="s">
        <v>19</v>
      </c>
      <c r="H148" s="3"/>
      <c r="I148" s="3" t="s">
        <v>20</v>
      </c>
      <c r="J148" s="3"/>
      <c r="K148" s="3" t="s">
        <v>28</v>
      </c>
      <c r="L148" s="3" t="s">
        <v>28</v>
      </c>
      <c r="M148" s="3" t="s">
        <v>633</v>
      </c>
      <c r="N148" s="3" t="s">
        <v>634</v>
      </c>
      <c r="O148" s="3" t="s">
        <v>48</v>
      </c>
      <c r="P148" s="3" t="s">
        <v>444</v>
      </c>
      <c r="Q148" s="3"/>
      <c r="R148" s="3"/>
      <c r="S148" s="3"/>
      <c r="T148" s="3"/>
      <c r="U148" s="3"/>
      <c r="V148" s="3"/>
      <c r="W148" s="3"/>
      <c r="X148" s="3"/>
      <c r="Y148" s="3"/>
      <c r="Z148" s="3"/>
      <c r="AA148" s="3"/>
    </row>
    <row r="149" spans="1:27" ht="14.25" customHeight="1">
      <c r="A149" s="2">
        <v>46178</v>
      </c>
      <c r="B149" s="3" t="s">
        <v>81</v>
      </c>
      <c r="C149" s="3" t="s">
        <v>82</v>
      </c>
      <c r="D149" s="3" t="s">
        <v>95</v>
      </c>
      <c r="E149" s="3" t="s">
        <v>635</v>
      </c>
      <c r="F149" s="3"/>
      <c r="G149" s="3" t="s">
        <v>19</v>
      </c>
      <c r="H149" s="3"/>
      <c r="I149" s="3" t="s">
        <v>20</v>
      </c>
      <c r="J149" s="3"/>
      <c r="K149" s="3" t="s">
        <v>21</v>
      </c>
      <c r="L149" s="3" t="s">
        <v>21</v>
      </c>
      <c r="M149" s="3" t="s">
        <v>636</v>
      </c>
      <c r="N149" s="3" t="s">
        <v>30</v>
      </c>
      <c r="O149" s="3" t="s">
        <v>637</v>
      </c>
      <c r="P149" s="3"/>
      <c r="Q149" s="3"/>
      <c r="R149" s="3"/>
      <c r="S149" s="3"/>
      <c r="T149" s="3"/>
      <c r="U149" s="3"/>
      <c r="V149" s="3"/>
      <c r="W149" s="3"/>
      <c r="X149" s="3"/>
      <c r="Y149" s="3"/>
      <c r="Z149" s="3"/>
      <c r="AA149" s="3"/>
    </row>
    <row r="150" spans="1:27" ht="14.25" customHeight="1">
      <c r="A150" s="2">
        <v>46178</v>
      </c>
      <c r="B150" s="3" t="s">
        <v>81</v>
      </c>
      <c r="C150" s="3" t="s">
        <v>82</v>
      </c>
      <c r="D150" s="3" t="s">
        <v>288</v>
      </c>
      <c r="E150" s="3" t="s">
        <v>638</v>
      </c>
      <c r="F150" s="3"/>
      <c r="G150" s="3" t="s">
        <v>19</v>
      </c>
      <c r="H150" s="3"/>
      <c r="I150" s="3" t="s">
        <v>20</v>
      </c>
      <c r="J150" s="3"/>
      <c r="K150" s="3" t="s">
        <v>28</v>
      </c>
      <c r="L150" s="3" t="s">
        <v>28</v>
      </c>
      <c r="M150" s="3" t="s">
        <v>639</v>
      </c>
      <c r="N150" s="3" t="s">
        <v>640</v>
      </c>
      <c r="O150" s="3" t="s">
        <v>640</v>
      </c>
      <c r="P150" s="3" t="s">
        <v>48</v>
      </c>
      <c r="Q150" s="3"/>
      <c r="R150" s="3"/>
      <c r="S150" s="3"/>
      <c r="T150" s="3"/>
      <c r="U150" s="3"/>
      <c r="V150" s="3"/>
      <c r="W150" s="3"/>
      <c r="X150" s="3"/>
      <c r="Y150" s="3"/>
      <c r="Z150" s="3"/>
      <c r="AA150" s="3"/>
    </row>
    <row r="151" spans="1:27" ht="14.25" customHeight="1">
      <c r="A151" s="2">
        <v>46178</v>
      </c>
      <c r="B151" s="3" t="s">
        <v>81</v>
      </c>
      <c r="C151" s="3" t="s">
        <v>82</v>
      </c>
      <c r="D151" s="3" t="s">
        <v>288</v>
      </c>
      <c r="E151" s="3" t="s">
        <v>641</v>
      </c>
      <c r="F151" s="3"/>
      <c r="G151" s="3" t="s">
        <v>19</v>
      </c>
      <c r="H151" s="3"/>
      <c r="I151" s="3" t="s">
        <v>20</v>
      </c>
      <c r="J151" s="3"/>
      <c r="K151" s="3" t="s">
        <v>28</v>
      </c>
      <c r="L151" s="3" t="s">
        <v>28</v>
      </c>
      <c r="M151" s="3" t="s">
        <v>642</v>
      </c>
      <c r="N151" s="3" t="s">
        <v>643</v>
      </c>
      <c r="O151" s="3" t="s">
        <v>644</v>
      </c>
      <c r="P151" s="3"/>
      <c r="Q151" s="3"/>
      <c r="R151" s="3"/>
      <c r="S151" s="3"/>
      <c r="T151" s="3"/>
      <c r="U151" s="3"/>
      <c r="V151" s="3"/>
      <c r="W151" s="3"/>
      <c r="X151" s="3"/>
      <c r="Y151" s="3"/>
      <c r="Z151" s="3"/>
      <c r="AA151" s="3"/>
    </row>
    <row r="152" spans="1:27" ht="14.25" customHeight="1">
      <c r="A152" s="2">
        <v>46178</v>
      </c>
      <c r="B152" s="3" t="s">
        <v>81</v>
      </c>
      <c r="C152" s="3" t="s">
        <v>50</v>
      </c>
      <c r="D152" s="3" t="s">
        <v>136</v>
      </c>
      <c r="E152" s="3" t="s">
        <v>645</v>
      </c>
      <c r="F152" s="3"/>
      <c r="G152" s="3" t="s">
        <v>19</v>
      </c>
      <c r="H152" s="3"/>
      <c r="I152" s="3" t="s">
        <v>20</v>
      </c>
      <c r="J152" s="3"/>
      <c r="K152" s="3" t="s">
        <v>28</v>
      </c>
      <c r="L152" s="3" t="s">
        <v>28</v>
      </c>
      <c r="M152" s="3" t="s">
        <v>646</v>
      </c>
      <c r="N152" s="3" t="s">
        <v>647</v>
      </c>
      <c r="O152" s="3" t="s">
        <v>281</v>
      </c>
      <c r="P152" s="3"/>
      <c r="Q152" s="3"/>
      <c r="R152" s="3"/>
      <c r="S152" s="3"/>
      <c r="T152" s="3"/>
      <c r="U152" s="3"/>
      <c r="V152" s="3"/>
      <c r="W152" s="3"/>
      <c r="X152" s="3"/>
      <c r="Y152" s="3"/>
      <c r="Z152" s="3"/>
      <c r="AA152" s="3"/>
    </row>
    <row r="153" spans="1:27" ht="14.25" customHeight="1">
      <c r="A153" s="2">
        <v>46178</v>
      </c>
      <c r="B153" s="3" t="s">
        <v>81</v>
      </c>
      <c r="C153" s="3" t="s">
        <v>50</v>
      </c>
      <c r="D153" s="3" t="s">
        <v>196</v>
      </c>
      <c r="E153" s="3" t="s">
        <v>648</v>
      </c>
      <c r="F153" s="3"/>
      <c r="G153" s="3" t="s">
        <v>19</v>
      </c>
      <c r="H153" s="3"/>
      <c r="I153" s="3" t="s">
        <v>20</v>
      </c>
      <c r="J153" s="3"/>
      <c r="K153" s="3" t="s">
        <v>21</v>
      </c>
      <c r="L153" s="3" t="s">
        <v>21</v>
      </c>
      <c r="M153" s="3" t="s">
        <v>649</v>
      </c>
      <c r="N153" s="3" t="s">
        <v>650</v>
      </c>
      <c r="O153" s="3" t="s">
        <v>651</v>
      </c>
      <c r="P153" s="3"/>
      <c r="Q153" s="3"/>
      <c r="R153" s="3"/>
      <c r="S153" s="3"/>
      <c r="T153" s="3"/>
      <c r="U153" s="3"/>
      <c r="V153" s="3"/>
      <c r="W153" s="3"/>
      <c r="X153" s="3"/>
      <c r="Y153" s="3"/>
      <c r="Z153" s="3"/>
      <c r="AA153" s="3"/>
    </row>
    <row r="154" spans="1:27" ht="14.25" customHeight="1">
      <c r="A154" s="2">
        <v>46178</v>
      </c>
      <c r="B154" s="3" t="s">
        <v>81</v>
      </c>
      <c r="C154" s="3" t="s">
        <v>82</v>
      </c>
      <c r="D154" s="3" t="s">
        <v>95</v>
      </c>
      <c r="E154" s="3" t="s">
        <v>652</v>
      </c>
      <c r="F154" s="3"/>
      <c r="G154" s="3" t="s">
        <v>19</v>
      </c>
      <c r="H154" s="3"/>
      <c r="I154" s="3" t="s">
        <v>20</v>
      </c>
      <c r="J154" s="3"/>
      <c r="K154" s="3" t="s">
        <v>28</v>
      </c>
      <c r="L154" s="3" t="s">
        <v>28</v>
      </c>
      <c r="M154" s="3" t="s">
        <v>653</v>
      </c>
      <c r="N154" s="3" t="s">
        <v>654</v>
      </c>
      <c r="O154" s="3" t="s">
        <v>48</v>
      </c>
      <c r="P154" s="3"/>
      <c r="Q154" s="3"/>
      <c r="R154" s="3"/>
      <c r="S154" s="3"/>
      <c r="T154" s="3"/>
      <c r="U154" s="3"/>
      <c r="V154" s="3"/>
      <c r="W154" s="3"/>
      <c r="X154" s="3"/>
      <c r="Y154" s="3"/>
      <c r="Z154" s="3"/>
      <c r="AA154" s="3"/>
    </row>
    <row r="155" spans="1:27" ht="14.25" customHeight="1">
      <c r="A155" s="2">
        <v>46178</v>
      </c>
      <c r="B155" s="3" t="s">
        <v>81</v>
      </c>
      <c r="C155" s="3" t="s">
        <v>82</v>
      </c>
      <c r="D155" s="3" t="s">
        <v>95</v>
      </c>
      <c r="E155" s="3" t="s">
        <v>655</v>
      </c>
      <c r="F155" s="3"/>
      <c r="G155" s="3" t="s">
        <v>19</v>
      </c>
      <c r="H155" s="3"/>
      <c r="I155" s="3" t="s">
        <v>20</v>
      </c>
      <c r="J155" s="3"/>
      <c r="K155" s="3" t="s">
        <v>21</v>
      </c>
      <c r="L155" s="3" t="s">
        <v>21</v>
      </c>
      <c r="M155" s="3" t="s">
        <v>656</v>
      </c>
      <c r="N155" s="3" t="s">
        <v>657</v>
      </c>
      <c r="O155" s="3" t="s">
        <v>658</v>
      </c>
      <c r="P155" s="3"/>
      <c r="Q155" s="3"/>
      <c r="R155" s="3"/>
      <c r="S155" s="3"/>
      <c r="T155" s="3"/>
      <c r="U155" s="3"/>
      <c r="V155" s="3"/>
      <c r="W155" s="3"/>
      <c r="X155" s="3"/>
      <c r="Y155" s="3"/>
      <c r="Z155" s="3"/>
      <c r="AA155" s="3"/>
    </row>
    <row r="156" spans="1:27" ht="14.25" customHeight="1">
      <c r="A156" s="2">
        <v>46178</v>
      </c>
      <c r="B156" s="3" t="s">
        <v>15</v>
      </c>
      <c r="C156" s="3" t="s">
        <v>33</v>
      </c>
      <c r="D156" s="3" t="s">
        <v>62</v>
      </c>
      <c r="E156" s="3" t="s">
        <v>659</v>
      </c>
      <c r="F156" s="3"/>
      <c r="G156" s="3" t="s">
        <v>19</v>
      </c>
      <c r="H156" s="3"/>
      <c r="I156" s="3" t="s">
        <v>45</v>
      </c>
      <c r="J156" s="3"/>
      <c r="K156" s="3" t="s">
        <v>28</v>
      </c>
      <c r="L156" s="3" t="s">
        <v>28</v>
      </c>
      <c r="M156" s="3" t="s">
        <v>660</v>
      </c>
      <c r="N156" s="3" t="s">
        <v>661</v>
      </c>
      <c r="O156" s="3" t="s">
        <v>662</v>
      </c>
      <c r="P156" s="3" t="s">
        <v>48</v>
      </c>
      <c r="Q156" s="3"/>
      <c r="R156" s="3"/>
      <c r="S156" s="3"/>
      <c r="T156" s="3"/>
      <c r="U156" s="3"/>
      <c r="V156" s="3"/>
      <c r="W156" s="3"/>
      <c r="X156" s="3"/>
      <c r="Y156" s="3"/>
      <c r="Z156" s="3"/>
      <c r="AA156" s="3"/>
    </row>
    <row r="157" spans="1:27" ht="14.25" customHeight="1">
      <c r="A157" s="2">
        <v>46178</v>
      </c>
      <c r="B157" s="3" t="s">
        <v>15</v>
      </c>
      <c r="C157" s="3" t="s">
        <v>16</v>
      </c>
      <c r="D157" s="3" t="s">
        <v>663</v>
      </c>
      <c r="E157" s="3" t="s">
        <v>664</v>
      </c>
      <c r="F157" s="3"/>
      <c r="G157" s="3" t="s">
        <v>107</v>
      </c>
      <c r="H157" s="3"/>
      <c r="I157" s="3" t="s">
        <v>45</v>
      </c>
      <c r="J157" s="3"/>
      <c r="K157" s="3" t="s">
        <v>21</v>
      </c>
      <c r="L157" s="3" t="s">
        <v>21</v>
      </c>
      <c r="M157" s="3" t="s">
        <v>665</v>
      </c>
      <c r="N157" s="3" t="s">
        <v>666</v>
      </c>
      <c r="O157" s="3" t="s">
        <v>667</v>
      </c>
      <c r="P157" s="3" t="s">
        <v>30</v>
      </c>
      <c r="Q157" s="3"/>
      <c r="R157" s="3"/>
      <c r="S157" s="3"/>
      <c r="T157" s="3"/>
      <c r="U157" s="3"/>
      <c r="V157" s="3"/>
      <c r="W157" s="3"/>
      <c r="X157" s="3"/>
      <c r="Y157" s="3"/>
      <c r="Z157" s="3"/>
      <c r="AA157" s="3"/>
    </row>
    <row r="158" spans="1:27" ht="14.25" customHeight="1">
      <c r="A158" s="2">
        <v>46178</v>
      </c>
      <c r="B158" s="3" t="s">
        <v>81</v>
      </c>
      <c r="C158" s="3" t="s">
        <v>82</v>
      </c>
      <c r="D158" s="3" t="s">
        <v>83</v>
      </c>
      <c r="E158" s="3" t="s">
        <v>668</v>
      </c>
      <c r="F158" s="3"/>
      <c r="G158" s="3" t="s">
        <v>19</v>
      </c>
      <c r="H158" s="3"/>
      <c r="I158" s="3" t="s">
        <v>20</v>
      </c>
      <c r="J158" s="3"/>
      <c r="K158" s="3" t="s">
        <v>28</v>
      </c>
      <c r="L158" s="3" t="s">
        <v>28</v>
      </c>
      <c r="M158" s="3" t="s">
        <v>669</v>
      </c>
      <c r="N158" s="3" t="s">
        <v>513</v>
      </c>
      <c r="O158" s="3" t="s">
        <v>281</v>
      </c>
      <c r="P158" s="3" t="s">
        <v>30</v>
      </c>
      <c r="Q158" s="3"/>
      <c r="R158" s="3"/>
      <c r="S158" s="3"/>
      <c r="T158" s="3"/>
      <c r="U158" s="3"/>
      <c r="V158" s="3"/>
      <c r="W158" s="3"/>
      <c r="X158" s="3"/>
      <c r="Y158" s="3"/>
      <c r="Z158" s="3"/>
      <c r="AA158" s="3"/>
    </row>
    <row r="159" spans="1:27" ht="14.25" customHeight="1">
      <c r="A159" s="2">
        <v>46178</v>
      </c>
      <c r="B159" s="3" t="s">
        <v>81</v>
      </c>
      <c r="C159" s="3" t="s">
        <v>82</v>
      </c>
      <c r="D159" s="3" t="s">
        <v>83</v>
      </c>
      <c r="E159" s="3" t="s">
        <v>670</v>
      </c>
      <c r="F159" s="3"/>
      <c r="G159" s="3" t="s">
        <v>19</v>
      </c>
      <c r="H159" s="3"/>
      <c r="I159" s="3" t="s">
        <v>45</v>
      </c>
      <c r="J159" s="3"/>
      <c r="K159" s="3" t="s">
        <v>21</v>
      </c>
      <c r="L159" s="3" t="s">
        <v>21</v>
      </c>
      <c r="M159" s="3" t="s">
        <v>671</v>
      </c>
      <c r="N159" s="3" t="s">
        <v>672</v>
      </c>
      <c r="O159" s="3" t="s">
        <v>673</v>
      </c>
      <c r="P159" s="3" t="s">
        <v>674</v>
      </c>
      <c r="Q159" s="3"/>
      <c r="R159" s="3"/>
      <c r="S159" s="3"/>
      <c r="T159" s="3"/>
      <c r="U159" s="3"/>
      <c r="V159" s="3"/>
      <c r="W159" s="3"/>
      <c r="X159" s="3"/>
      <c r="Y159" s="3"/>
      <c r="Z159" s="3"/>
      <c r="AA159" s="3"/>
    </row>
    <row r="160" spans="1:27" ht="14.25" customHeight="1">
      <c r="A160" s="2">
        <v>46178</v>
      </c>
      <c r="B160" s="3" t="s">
        <v>111</v>
      </c>
      <c r="C160" s="3" t="s">
        <v>112</v>
      </c>
      <c r="D160" s="3" t="s">
        <v>113</v>
      </c>
      <c r="E160" s="3" t="s">
        <v>675</v>
      </c>
      <c r="F160" s="3"/>
      <c r="G160" s="3" t="s">
        <v>19</v>
      </c>
      <c r="H160" s="3"/>
      <c r="I160" s="3" t="s">
        <v>45</v>
      </c>
      <c r="J160" s="3"/>
      <c r="K160" s="3" t="s">
        <v>21</v>
      </c>
      <c r="L160" s="3" t="s">
        <v>21</v>
      </c>
      <c r="M160" s="3" t="s">
        <v>676</v>
      </c>
      <c r="N160" s="3" t="s">
        <v>30</v>
      </c>
      <c r="O160" s="3" t="s">
        <v>677</v>
      </c>
      <c r="P160" s="3" t="s">
        <v>30</v>
      </c>
      <c r="Q160" s="3"/>
      <c r="R160" s="3"/>
      <c r="S160" s="3"/>
      <c r="T160" s="3"/>
      <c r="U160" s="3"/>
      <c r="V160" s="3"/>
      <c r="W160" s="3"/>
      <c r="X160" s="3"/>
      <c r="Y160" s="3"/>
      <c r="Z160" s="3"/>
      <c r="AA160" s="3"/>
    </row>
    <row r="161" spans="1:27" ht="14.25" customHeight="1">
      <c r="A161" s="2">
        <v>46178</v>
      </c>
      <c r="B161" s="3" t="s">
        <v>81</v>
      </c>
      <c r="C161" s="3" t="s">
        <v>50</v>
      </c>
      <c r="D161" s="3" t="s">
        <v>136</v>
      </c>
      <c r="E161" s="3" t="s">
        <v>678</v>
      </c>
      <c r="F161" s="3"/>
      <c r="G161" s="3" t="s">
        <v>19</v>
      </c>
      <c r="H161" s="3"/>
      <c r="I161" s="3" t="s">
        <v>20</v>
      </c>
      <c r="J161" s="3"/>
      <c r="K161" s="3" t="s">
        <v>28</v>
      </c>
      <c r="L161" s="3" t="s">
        <v>28</v>
      </c>
      <c r="M161" s="3" t="s">
        <v>679</v>
      </c>
      <c r="N161" s="3" t="s">
        <v>680</v>
      </c>
      <c r="O161" s="3" t="s">
        <v>681</v>
      </c>
      <c r="P161" s="3"/>
      <c r="Q161" s="3"/>
      <c r="R161" s="3"/>
      <c r="S161" s="3"/>
      <c r="T161" s="3"/>
      <c r="U161" s="3"/>
      <c r="V161" s="3"/>
      <c r="W161" s="3"/>
      <c r="X161" s="3"/>
      <c r="Y161" s="3"/>
      <c r="Z161" s="3"/>
      <c r="AA161" s="3"/>
    </row>
    <row r="162" spans="1:27" ht="14.25" customHeight="1">
      <c r="A162" s="2">
        <v>46178</v>
      </c>
      <c r="B162" s="3" t="s">
        <v>81</v>
      </c>
      <c r="C162" s="3" t="s">
        <v>82</v>
      </c>
      <c r="D162" s="3" t="s">
        <v>95</v>
      </c>
      <c r="E162" s="3" t="s">
        <v>655</v>
      </c>
      <c r="F162" s="3"/>
      <c r="G162" s="3" t="s">
        <v>19</v>
      </c>
      <c r="H162" s="3"/>
      <c r="I162" s="3" t="s">
        <v>20</v>
      </c>
      <c r="J162" s="3"/>
      <c r="K162" s="3" t="s">
        <v>21</v>
      </c>
      <c r="L162" s="3" t="s">
        <v>21</v>
      </c>
      <c r="M162" s="3" t="s">
        <v>682</v>
      </c>
      <c r="N162" s="3" t="s">
        <v>683</v>
      </c>
      <c r="O162" s="3" t="s">
        <v>684</v>
      </c>
      <c r="P162" s="3" t="s">
        <v>56</v>
      </c>
      <c r="Q162" s="3"/>
      <c r="R162" s="3"/>
      <c r="S162" s="3"/>
      <c r="T162" s="3"/>
      <c r="U162" s="3"/>
      <c r="V162" s="3"/>
      <c r="W162" s="3"/>
      <c r="X162" s="3"/>
      <c r="Y162" s="3"/>
      <c r="Z162" s="3"/>
      <c r="AA162" s="3"/>
    </row>
    <row r="163" spans="1:27" ht="14.25" customHeight="1">
      <c r="A163" s="2">
        <v>46178</v>
      </c>
      <c r="B163" s="3" t="s">
        <v>81</v>
      </c>
      <c r="C163" s="3" t="s">
        <v>82</v>
      </c>
      <c r="D163" s="3" t="s">
        <v>288</v>
      </c>
      <c r="E163" s="3" t="s">
        <v>685</v>
      </c>
      <c r="F163" s="3"/>
      <c r="G163" s="3" t="s">
        <v>19</v>
      </c>
      <c r="H163" s="3"/>
      <c r="I163" s="3" t="s">
        <v>20</v>
      </c>
      <c r="J163" s="3"/>
      <c r="K163" s="3" t="s">
        <v>21</v>
      </c>
      <c r="L163" s="3" t="s">
        <v>21</v>
      </c>
      <c r="M163" s="3" t="s">
        <v>686</v>
      </c>
      <c r="N163" s="3" t="s">
        <v>687</v>
      </c>
      <c r="O163" s="3" t="s">
        <v>688</v>
      </c>
      <c r="P163" s="3" t="s">
        <v>30</v>
      </c>
      <c r="Q163" s="3"/>
      <c r="R163" s="3"/>
      <c r="S163" s="3"/>
      <c r="T163" s="3"/>
      <c r="U163" s="3"/>
      <c r="V163" s="3"/>
      <c r="W163" s="3"/>
      <c r="X163" s="3"/>
      <c r="Y163" s="3"/>
      <c r="Z163" s="3"/>
      <c r="AA163" s="3"/>
    </row>
    <row r="164" spans="1:27" ht="14.25" customHeight="1">
      <c r="A164" s="2">
        <v>46178</v>
      </c>
      <c r="B164" s="3" t="s">
        <v>81</v>
      </c>
      <c r="C164" s="3" t="s">
        <v>50</v>
      </c>
      <c r="D164" s="3" t="s">
        <v>136</v>
      </c>
      <c r="E164" s="3" t="s">
        <v>689</v>
      </c>
      <c r="F164" s="3"/>
      <c r="G164" s="3" t="s">
        <v>19</v>
      </c>
      <c r="H164" s="3"/>
      <c r="I164" s="3" t="s">
        <v>20</v>
      </c>
      <c r="J164" s="3"/>
      <c r="K164" s="3" t="s">
        <v>28</v>
      </c>
      <c r="L164" s="3" t="s">
        <v>28</v>
      </c>
      <c r="M164" s="3" t="s">
        <v>690</v>
      </c>
      <c r="N164" s="3" t="s">
        <v>691</v>
      </c>
      <c r="O164" s="3" t="s">
        <v>692</v>
      </c>
      <c r="P164" s="3"/>
      <c r="Q164" s="3"/>
      <c r="R164" s="3"/>
      <c r="S164" s="3"/>
      <c r="T164" s="3"/>
      <c r="U164" s="3"/>
      <c r="V164" s="3"/>
      <c r="W164" s="3"/>
      <c r="X164" s="3"/>
      <c r="Y164" s="3"/>
      <c r="Z164" s="3"/>
      <c r="AA164" s="3"/>
    </row>
    <row r="165" spans="1:27" ht="14.25" customHeight="1">
      <c r="A165" s="2">
        <v>46178</v>
      </c>
      <c r="B165" s="3" t="s">
        <v>81</v>
      </c>
      <c r="C165" s="3" t="s">
        <v>82</v>
      </c>
      <c r="D165" s="3" t="s">
        <v>475</v>
      </c>
      <c r="E165" s="3" t="s">
        <v>693</v>
      </c>
      <c r="F165" s="3"/>
      <c r="G165" s="3" t="s">
        <v>19</v>
      </c>
      <c r="H165" s="3"/>
      <c r="I165" s="3" t="s">
        <v>20</v>
      </c>
      <c r="J165" s="3"/>
      <c r="K165" s="3" t="s">
        <v>28</v>
      </c>
      <c r="L165" s="3" t="s">
        <v>21</v>
      </c>
      <c r="M165" s="3" t="s">
        <v>694</v>
      </c>
      <c r="N165" s="3" t="s">
        <v>695</v>
      </c>
      <c r="O165" s="3" t="s">
        <v>696</v>
      </c>
      <c r="P165" s="3"/>
      <c r="Q165" s="3"/>
      <c r="R165" s="3"/>
      <c r="S165" s="3"/>
      <c r="T165" s="3"/>
      <c r="U165" s="3"/>
      <c r="V165" s="3"/>
      <c r="W165" s="3"/>
      <c r="X165" s="3"/>
      <c r="Y165" s="3"/>
      <c r="Z165" s="3"/>
      <c r="AA165" s="3"/>
    </row>
    <row r="166" spans="1:27" ht="14.25" customHeight="1">
      <c r="A166" s="2">
        <v>46178</v>
      </c>
      <c r="B166" s="3" t="s">
        <v>15</v>
      </c>
      <c r="C166" s="3" t="s">
        <v>33</v>
      </c>
      <c r="D166" s="3" t="s">
        <v>34</v>
      </c>
      <c r="E166" s="3" t="s">
        <v>697</v>
      </c>
      <c r="F166" s="3"/>
      <c r="G166" s="3" t="s">
        <v>19</v>
      </c>
      <c r="H166" s="3"/>
      <c r="I166" s="3" t="s">
        <v>20</v>
      </c>
      <c r="J166" s="3"/>
      <c r="K166" s="3" t="s">
        <v>21</v>
      </c>
      <c r="L166" s="3" t="s">
        <v>28</v>
      </c>
      <c r="M166" s="3" t="s">
        <v>698</v>
      </c>
      <c r="N166" s="3" t="s">
        <v>699</v>
      </c>
      <c r="O166" s="3" t="s">
        <v>700</v>
      </c>
      <c r="P166" s="3"/>
      <c r="Q166" s="3"/>
      <c r="R166" s="3"/>
      <c r="S166" s="3"/>
      <c r="T166" s="3"/>
      <c r="U166" s="3"/>
      <c r="V166" s="3"/>
      <c r="W166" s="3"/>
      <c r="X166" s="3"/>
      <c r="Y166" s="3"/>
      <c r="Z166" s="3"/>
      <c r="AA166" s="3"/>
    </row>
    <row r="167" spans="1:27" ht="14.25" customHeight="1">
      <c r="A167" s="2">
        <v>46178</v>
      </c>
      <c r="B167" s="3" t="s">
        <v>72</v>
      </c>
      <c r="C167" s="3" t="s">
        <v>73</v>
      </c>
      <c r="D167" s="3" t="s">
        <v>72</v>
      </c>
      <c r="E167" s="3" t="s">
        <v>701</v>
      </c>
      <c r="F167" s="3"/>
      <c r="G167" s="3" t="s">
        <v>19</v>
      </c>
      <c r="H167" s="3"/>
      <c r="I167" s="3" t="s">
        <v>45</v>
      </c>
      <c r="J167" s="3"/>
      <c r="K167" s="3" t="s">
        <v>28</v>
      </c>
      <c r="L167" s="3" t="s">
        <v>28</v>
      </c>
      <c r="M167" s="3" t="s">
        <v>702</v>
      </c>
      <c r="N167" s="3" t="s">
        <v>703</v>
      </c>
      <c r="O167" s="3" t="s">
        <v>704</v>
      </c>
      <c r="P167" s="3"/>
      <c r="Q167" s="3"/>
      <c r="R167" s="3"/>
      <c r="S167" s="3"/>
      <c r="T167" s="3"/>
      <c r="U167" s="3"/>
      <c r="V167" s="3"/>
      <c r="W167" s="3"/>
      <c r="X167" s="3"/>
      <c r="Y167" s="3"/>
      <c r="Z167" s="3"/>
      <c r="AA167" s="3"/>
    </row>
    <row r="168" spans="1:27" ht="14.25" customHeight="1">
      <c r="A168" s="2">
        <v>46178</v>
      </c>
      <c r="B168" s="3" t="s">
        <v>111</v>
      </c>
      <c r="C168" s="3" t="s">
        <v>112</v>
      </c>
      <c r="D168" s="3" t="s">
        <v>113</v>
      </c>
      <c r="E168" s="3" t="s">
        <v>705</v>
      </c>
      <c r="F168" s="3"/>
      <c r="G168" s="3" t="s">
        <v>19</v>
      </c>
      <c r="H168" s="3"/>
      <c r="I168" s="3" t="s">
        <v>20</v>
      </c>
      <c r="J168" s="3"/>
      <c r="K168" s="3" t="s">
        <v>28</v>
      </c>
      <c r="L168" s="3" t="s">
        <v>28</v>
      </c>
      <c r="M168" s="3" t="s">
        <v>706</v>
      </c>
      <c r="N168" s="3" t="s">
        <v>707</v>
      </c>
      <c r="O168" s="3" t="s">
        <v>708</v>
      </c>
      <c r="P168" s="3"/>
      <c r="Q168" s="3"/>
      <c r="R168" s="3"/>
      <c r="S168" s="3"/>
      <c r="T168" s="3"/>
      <c r="U168" s="3"/>
      <c r="V168" s="3"/>
      <c r="W168" s="3"/>
      <c r="X168" s="3"/>
      <c r="Y168" s="3"/>
      <c r="Z168" s="3"/>
      <c r="AA168" s="3"/>
    </row>
    <row r="169" spans="1:27" ht="14.25" customHeight="1">
      <c r="A169" s="2">
        <v>46178</v>
      </c>
      <c r="B169" s="3" t="s">
        <v>15</v>
      </c>
      <c r="C169" s="3" t="s">
        <v>39</v>
      </c>
      <c r="D169" s="3" t="s">
        <v>57</v>
      </c>
      <c r="E169" s="3" t="s">
        <v>709</v>
      </c>
      <c r="F169" s="3"/>
      <c r="G169" s="3" t="s">
        <v>19</v>
      </c>
      <c r="H169" s="3"/>
      <c r="I169" s="3" t="s">
        <v>45</v>
      </c>
      <c r="J169" s="3"/>
      <c r="K169" s="3" t="s">
        <v>28</v>
      </c>
      <c r="L169" s="3" t="s">
        <v>28</v>
      </c>
      <c r="M169" s="3" t="s">
        <v>710</v>
      </c>
      <c r="N169" s="3" t="s">
        <v>711</v>
      </c>
      <c r="O169" s="3" t="s">
        <v>712</v>
      </c>
      <c r="P169" s="3" t="s">
        <v>713</v>
      </c>
      <c r="Q169" s="3"/>
      <c r="R169" s="3"/>
      <c r="S169" s="3"/>
      <c r="T169" s="3"/>
      <c r="U169" s="3"/>
      <c r="V169" s="3"/>
      <c r="W169" s="3"/>
      <c r="X169" s="3"/>
      <c r="Y169" s="3"/>
      <c r="Z169" s="3"/>
      <c r="AA169" s="3"/>
    </row>
    <row r="170" spans="1:27" ht="14.25" customHeight="1">
      <c r="A170" s="2">
        <v>46178</v>
      </c>
      <c r="B170" s="3" t="s">
        <v>81</v>
      </c>
      <c r="C170" s="3" t="s">
        <v>82</v>
      </c>
      <c r="D170" s="3" t="s">
        <v>95</v>
      </c>
      <c r="E170" s="3" t="s">
        <v>714</v>
      </c>
      <c r="F170" s="3"/>
      <c r="G170" s="3" t="s">
        <v>19</v>
      </c>
      <c r="H170" s="3"/>
      <c r="I170" s="3" t="s">
        <v>20</v>
      </c>
      <c r="J170" s="3"/>
      <c r="K170" s="3" t="s">
        <v>28</v>
      </c>
      <c r="L170" s="3" t="s">
        <v>21</v>
      </c>
      <c r="M170" s="3" t="s">
        <v>715</v>
      </c>
      <c r="N170" s="3" t="s">
        <v>48</v>
      </c>
      <c r="O170" s="3" t="s">
        <v>716</v>
      </c>
      <c r="P170" s="3" t="s">
        <v>48</v>
      </c>
      <c r="Q170" s="3"/>
      <c r="R170" s="3"/>
      <c r="S170" s="3"/>
      <c r="T170" s="3"/>
      <c r="U170" s="3"/>
      <c r="V170" s="3"/>
      <c r="W170" s="3"/>
      <c r="X170" s="3"/>
      <c r="Y170" s="3"/>
      <c r="Z170" s="3"/>
      <c r="AA170" s="3"/>
    </row>
    <row r="171" spans="1:27" ht="14.25" customHeight="1">
      <c r="A171" s="2">
        <v>46178</v>
      </c>
      <c r="B171" s="3" t="s">
        <v>81</v>
      </c>
      <c r="C171" s="3" t="s">
        <v>82</v>
      </c>
      <c r="D171" s="3" t="s">
        <v>288</v>
      </c>
      <c r="E171" s="3" t="s">
        <v>717</v>
      </c>
      <c r="F171" s="3"/>
      <c r="G171" s="3" t="s">
        <v>19</v>
      </c>
      <c r="H171" s="3"/>
      <c r="I171" s="3" t="s">
        <v>20</v>
      </c>
      <c r="J171" s="3"/>
      <c r="K171" s="3" t="s">
        <v>21</v>
      </c>
      <c r="L171" s="3" t="s">
        <v>28</v>
      </c>
      <c r="M171" s="3" t="s">
        <v>718</v>
      </c>
      <c r="N171" s="3" t="s">
        <v>719</v>
      </c>
      <c r="O171" s="3" t="s">
        <v>720</v>
      </c>
      <c r="P171" s="3" t="s">
        <v>721</v>
      </c>
      <c r="Q171" s="3"/>
      <c r="R171" s="3"/>
      <c r="S171" s="3"/>
      <c r="T171" s="3"/>
      <c r="U171" s="3"/>
      <c r="V171" s="3"/>
      <c r="W171" s="3"/>
      <c r="X171" s="3"/>
      <c r="Y171" s="3"/>
      <c r="Z171" s="3"/>
      <c r="AA171" s="3"/>
    </row>
    <row r="172" spans="1:27" ht="14.25" customHeight="1">
      <c r="A172" s="2">
        <v>46178</v>
      </c>
      <c r="B172" s="3" t="s">
        <v>81</v>
      </c>
      <c r="C172" s="3" t="s">
        <v>82</v>
      </c>
      <c r="D172" s="3" t="s">
        <v>288</v>
      </c>
      <c r="E172" s="3" t="s">
        <v>722</v>
      </c>
      <c r="F172" s="3"/>
      <c r="G172" s="3" t="s">
        <v>19</v>
      </c>
      <c r="H172" s="3"/>
      <c r="I172" s="3" t="s">
        <v>20</v>
      </c>
      <c r="J172" s="3"/>
      <c r="K172" s="3" t="s">
        <v>21</v>
      </c>
      <c r="L172" s="3" t="s">
        <v>21</v>
      </c>
      <c r="M172" s="3" t="s">
        <v>723</v>
      </c>
      <c r="N172" s="3" t="s">
        <v>724</v>
      </c>
      <c r="O172" s="3" t="s">
        <v>725</v>
      </c>
      <c r="P172" s="3" t="s">
        <v>100</v>
      </c>
      <c r="Q172" s="3"/>
      <c r="R172" s="3"/>
      <c r="S172" s="3"/>
      <c r="T172" s="3"/>
      <c r="U172" s="3"/>
      <c r="V172" s="3"/>
      <c r="W172" s="3"/>
      <c r="X172" s="3"/>
      <c r="Y172" s="3"/>
      <c r="Z172" s="3"/>
      <c r="AA172" s="3"/>
    </row>
    <row r="173" spans="1:27" ht="14.25" customHeight="1">
      <c r="A173" s="2">
        <v>46178</v>
      </c>
      <c r="B173" s="3" t="s">
        <v>15</v>
      </c>
      <c r="C173" s="3" t="s">
        <v>39</v>
      </c>
      <c r="D173" s="3" t="s">
        <v>67</v>
      </c>
      <c r="E173" s="3" t="s">
        <v>726</v>
      </c>
      <c r="F173" s="3"/>
      <c r="G173" s="3" t="s">
        <v>19</v>
      </c>
      <c r="H173" s="3"/>
      <c r="I173" s="3" t="s">
        <v>20</v>
      </c>
      <c r="J173" s="3"/>
      <c r="K173" s="3" t="s">
        <v>28</v>
      </c>
      <c r="L173" s="3" t="s">
        <v>28</v>
      </c>
      <c r="M173" s="3" t="s">
        <v>727</v>
      </c>
      <c r="N173" s="3" t="s">
        <v>728</v>
      </c>
      <c r="O173" s="3" t="s">
        <v>729</v>
      </c>
      <c r="P173" s="3" t="s">
        <v>56</v>
      </c>
      <c r="Q173" s="3"/>
      <c r="R173" s="3"/>
      <c r="S173" s="3"/>
      <c r="T173" s="3"/>
      <c r="U173" s="3"/>
      <c r="V173" s="3"/>
      <c r="W173" s="3"/>
      <c r="X173" s="3"/>
      <c r="Y173" s="3"/>
      <c r="Z173" s="3"/>
      <c r="AA173" s="3"/>
    </row>
    <row r="174" spans="1:27" ht="14.25" customHeight="1">
      <c r="A174" s="2">
        <v>46178</v>
      </c>
      <c r="B174" s="3" t="s">
        <v>15</v>
      </c>
      <c r="C174" s="3" t="s">
        <v>33</v>
      </c>
      <c r="D174" s="3" t="s">
        <v>34</v>
      </c>
      <c r="E174" s="3" t="s">
        <v>730</v>
      </c>
      <c r="F174" s="3"/>
      <c r="G174" s="3" t="s">
        <v>19</v>
      </c>
      <c r="H174" s="3"/>
      <c r="I174" s="3" t="s">
        <v>45</v>
      </c>
      <c r="J174" s="3"/>
      <c r="K174" s="3" t="s">
        <v>21</v>
      </c>
      <c r="L174" s="3" t="s">
        <v>28</v>
      </c>
      <c r="M174" s="3" t="s">
        <v>731</v>
      </c>
      <c r="N174" s="3" t="s">
        <v>732</v>
      </c>
      <c r="O174" s="3" t="s">
        <v>733</v>
      </c>
      <c r="P174" s="3" t="s">
        <v>56</v>
      </c>
      <c r="Q174" s="3"/>
      <c r="R174" s="3"/>
      <c r="S174" s="3"/>
      <c r="T174" s="3"/>
      <c r="U174" s="3"/>
      <c r="V174" s="3"/>
      <c r="W174" s="3"/>
      <c r="X174" s="3"/>
      <c r="Y174" s="3"/>
      <c r="Z174" s="3"/>
      <c r="AA174" s="3"/>
    </row>
    <row r="175" spans="1:27" ht="14.25" customHeight="1">
      <c r="A175" s="2">
        <v>46178</v>
      </c>
      <c r="B175" s="3" t="s">
        <v>81</v>
      </c>
      <c r="C175" s="3" t="s">
        <v>50</v>
      </c>
      <c r="D175" s="3" t="s">
        <v>136</v>
      </c>
      <c r="E175" s="3" t="s">
        <v>734</v>
      </c>
      <c r="F175" s="3"/>
      <c r="G175" s="3" t="s">
        <v>19</v>
      </c>
      <c r="H175" s="3"/>
      <c r="I175" s="3" t="s">
        <v>45</v>
      </c>
      <c r="J175" s="3"/>
      <c r="K175" s="3" t="s">
        <v>28</v>
      </c>
      <c r="L175" s="3" t="s">
        <v>28</v>
      </c>
      <c r="M175" s="3" t="s">
        <v>735</v>
      </c>
      <c r="N175" s="3" t="s">
        <v>736</v>
      </c>
      <c r="O175" s="3" t="s">
        <v>737</v>
      </c>
      <c r="P175" s="3" t="s">
        <v>30</v>
      </c>
      <c r="Q175" s="3"/>
      <c r="R175" s="3"/>
      <c r="S175" s="3"/>
      <c r="T175" s="3"/>
      <c r="U175" s="3"/>
      <c r="V175" s="3"/>
      <c r="W175" s="3"/>
      <c r="X175" s="3"/>
      <c r="Y175" s="3"/>
      <c r="Z175" s="3"/>
      <c r="AA175" s="3"/>
    </row>
    <row r="176" spans="1:27" ht="14.25" customHeight="1">
      <c r="A176" s="2">
        <v>46178</v>
      </c>
      <c r="B176" s="3" t="s">
        <v>81</v>
      </c>
      <c r="C176" s="3" t="s">
        <v>50</v>
      </c>
      <c r="D176" s="3" t="s">
        <v>136</v>
      </c>
      <c r="E176" s="3" t="s">
        <v>738</v>
      </c>
      <c r="F176" s="3"/>
      <c r="G176" s="3" t="s">
        <v>19</v>
      </c>
      <c r="H176" s="3"/>
      <c r="I176" s="3" t="s">
        <v>20</v>
      </c>
      <c r="J176" s="3"/>
      <c r="K176" s="3" t="s">
        <v>28</v>
      </c>
      <c r="L176" s="3" t="s">
        <v>28</v>
      </c>
      <c r="M176" s="3" t="s">
        <v>739</v>
      </c>
      <c r="N176" s="3" t="s">
        <v>740</v>
      </c>
      <c r="O176" s="3" t="s">
        <v>741</v>
      </c>
      <c r="P176" s="3" t="s">
        <v>742</v>
      </c>
      <c r="Q176" s="3"/>
      <c r="R176" s="3"/>
      <c r="S176" s="3"/>
      <c r="T176" s="3"/>
      <c r="U176" s="3"/>
      <c r="V176" s="3"/>
      <c r="W176" s="3"/>
      <c r="X176" s="3"/>
      <c r="Y176" s="3"/>
      <c r="Z176" s="3"/>
      <c r="AA176" s="3"/>
    </row>
    <row r="177" spans="1:27" ht="14.25" customHeight="1">
      <c r="A177" s="2">
        <v>46178</v>
      </c>
      <c r="B177" s="3" t="s">
        <v>81</v>
      </c>
      <c r="C177" s="3" t="s">
        <v>82</v>
      </c>
      <c r="D177" s="3" t="s">
        <v>83</v>
      </c>
      <c r="E177" s="3" t="s">
        <v>743</v>
      </c>
      <c r="F177" s="3"/>
      <c r="G177" s="3" t="s">
        <v>19</v>
      </c>
      <c r="H177" s="3"/>
      <c r="I177" s="3" t="s">
        <v>20</v>
      </c>
      <c r="J177" s="3"/>
      <c r="K177" s="3" t="s">
        <v>21</v>
      </c>
      <c r="L177" s="3" t="s">
        <v>21</v>
      </c>
      <c r="M177" s="3" t="s">
        <v>744</v>
      </c>
      <c r="N177" s="3" t="s">
        <v>745</v>
      </c>
      <c r="O177" s="3" t="s">
        <v>746</v>
      </c>
      <c r="P177" s="3" t="s">
        <v>30</v>
      </c>
      <c r="Q177" s="3"/>
      <c r="R177" s="3"/>
      <c r="S177" s="3"/>
      <c r="T177" s="3"/>
      <c r="U177" s="3"/>
      <c r="V177" s="3"/>
      <c r="W177" s="3"/>
      <c r="X177" s="3"/>
      <c r="Y177" s="3"/>
      <c r="Z177" s="3"/>
      <c r="AA177" s="3"/>
    </row>
    <row r="178" spans="1:27" ht="14.25" customHeight="1">
      <c r="A178" s="2">
        <v>46178</v>
      </c>
      <c r="B178" s="3" t="s">
        <v>81</v>
      </c>
      <c r="C178" s="3" t="s">
        <v>82</v>
      </c>
      <c r="D178" s="3" t="s">
        <v>95</v>
      </c>
      <c r="E178" s="3" t="s">
        <v>747</v>
      </c>
      <c r="F178" s="3"/>
      <c r="G178" s="3" t="s">
        <v>19</v>
      </c>
      <c r="H178" s="3"/>
      <c r="I178" s="3" t="s">
        <v>20</v>
      </c>
      <c r="J178" s="3"/>
      <c r="K178" s="3" t="s">
        <v>21</v>
      </c>
      <c r="L178" s="3" t="s">
        <v>28</v>
      </c>
      <c r="M178" s="3" t="s">
        <v>748</v>
      </c>
      <c r="N178" s="3" t="s">
        <v>749</v>
      </c>
      <c r="O178" s="3" t="s">
        <v>750</v>
      </c>
      <c r="P178" s="3" t="s">
        <v>751</v>
      </c>
      <c r="Q178" s="3"/>
      <c r="R178" s="3"/>
      <c r="S178" s="3"/>
      <c r="T178" s="3"/>
      <c r="U178" s="3"/>
      <c r="V178" s="3"/>
      <c r="W178" s="3"/>
      <c r="X178" s="3"/>
      <c r="Y178" s="3"/>
      <c r="Z178" s="3"/>
      <c r="AA178" s="3"/>
    </row>
    <row r="179" spans="1:27" ht="14.25" customHeight="1">
      <c r="A179" s="2">
        <v>46178</v>
      </c>
      <c r="B179" s="3" t="s">
        <v>150</v>
      </c>
      <c r="C179" s="3" t="s">
        <v>151</v>
      </c>
      <c r="D179" s="3" t="s">
        <v>150</v>
      </c>
      <c r="E179" s="3" t="s">
        <v>752</v>
      </c>
      <c r="F179" s="3"/>
      <c r="G179" s="3" t="s">
        <v>19</v>
      </c>
      <c r="H179" s="3"/>
      <c r="I179" s="3" t="s">
        <v>20</v>
      </c>
      <c r="J179" s="3"/>
      <c r="K179" s="3" t="s">
        <v>21</v>
      </c>
      <c r="L179" s="3" t="s">
        <v>28</v>
      </c>
      <c r="M179" s="3" t="s">
        <v>753</v>
      </c>
      <c r="N179" s="3" t="s">
        <v>754</v>
      </c>
      <c r="O179" s="3" t="s">
        <v>755</v>
      </c>
      <c r="P179" s="3" t="s">
        <v>278</v>
      </c>
      <c r="Q179" s="3"/>
      <c r="R179" s="3"/>
      <c r="S179" s="3"/>
      <c r="T179" s="3"/>
      <c r="U179" s="3"/>
      <c r="V179" s="3"/>
      <c r="W179" s="3"/>
      <c r="X179" s="3"/>
      <c r="Y179" s="3"/>
      <c r="Z179" s="3"/>
      <c r="AA179" s="3"/>
    </row>
    <row r="180" spans="1:27" ht="14.25" customHeight="1">
      <c r="A180" s="2">
        <v>46178</v>
      </c>
      <c r="B180" s="3" t="s">
        <v>81</v>
      </c>
      <c r="C180" s="3" t="s">
        <v>82</v>
      </c>
      <c r="D180" s="3" t="s">
        <v>288</v>
      </c>
      <c r="E180" s="3" t="s">
        <v>756</v>
      </c>
      <c r="F180" s="3"/>
      <c r="G180" s="3" t="s">
        <v>19</v>
      </c>
      <c r="H180" s="3"/>
      <c r="I180" s="3" t="s">
        <v>20</v>
      </c>
      <c r="J180" s="3"/>
      <c r="K180" s="3" t="s">
        <v>28</v>
      </c>
      <c r="L180" s="3" t="s">
        <v>28</v>
      </c>
      <c r="M180" s="3" t="s">
        <v>757</v>
      </c>
      <c r="N180" s="3" t="s">
        <v>758</v>
      </c>
      <c r="O180" s="3" t="s">
        <v>759</v>
      </c>
      <c r="P180" s="3"/>
      <c r="Q180" s="3"/>
      <c r="R180" s="3"/>
      <c r="S180" s="3"/>
      <c r="T180" s="3"/>
      <c r="U180" s="3"/>
      <c r="V180" s="3"/>
      <c r="W180" s="3"/>
      <c r="X180" s="3"/>
      <c r="Y180" s="3"/>
      <c r="Z180" s="3"/>
      <c r="AA180" s="3"/>
    </row>
    <row r="181" spans="1:27" ht="14.25" customHeight="1">
      <c r="A181" s="2">
        <v>46178</v>
      </c>
      <c r="B181" s="3" t="s">
        <v>81</v>
      </c>
      <c r="C181" s="3" t="s">
        <v>82</v>
      </c>
      <c r="D181" s="3" t="s">
        <v>288</v>
      </c>
      <c r="E181" s="3" t="s">
        <v>760</v>
      </c>
      <c r="F181" s="3"/>
      <c r="G181" s="3" t="s">
        <v>19</v>
      </c>
      <c r="H181" s="3"/>
      <c r="I181" s="3" t="s">
        <v>20</v>
      </c>
      <c r="J181" s="3"/>
      <c r="K181" s="3" t="s">
        <v>21</v>
      </c>
      <c r="L181" s="3" t="s">
        <v>21</v>
      </c>
      <c r="M181" s="3" t="s">
        <v>761</v>
      </c>
      <c r="N181" s="3" t="s">
        <v>300</v>
      </c>
      <c r="O181" s="3" t="s">
        <v>300</v>
      </c>
      <c r="P181" s="3"/>
      <c r="Q181" s="3"/>
      <c r="R181" s="3"/>
      <c r="S181" s="3"/>
      <c r="T181" s="3"/>
      <c r="U181" s="3"/>
      <c r="V181" s="3"/>
      <c r="W181" s="3"/>
      <c r="X181" s="3"/>
      <c r="Y181" s="3"/>
      <c r="Z181" s="3"/>
      <c r="AA181" s="3"/>
    </row>
    <row r="182" spans="1:27" ht="14.25" customHeight="1">
      <c r="A182" s="2">
        <v>46178</v>
      </c>
      <c r="B182" s="3" t="s">
        <v>81</v>
      </c>
      <c r="C182" s="3" t="s">
        <v>82</v>
      </c>
      <c r="D182" s="3" t="s">
        <v>475</v>
      </c>
      <c r="E182" s="3" t="s">
        <v>762</v>
      </c>
      <c r="F182" s="3"/>
      <c r="G182" s="3" t="s">
        <v>19</v>
      </c>
      <c r="H182" s="3"/>
      <c r="I182" s="3" t="s">
        <v>20</v>
      </c>
      <c r="J182" s="3"/>
      <c r="K182" s="3" t="s">
        <v>21</v>
      </c>
      <c r="L182" s="3" t="s">
        <v>21</v>
      </c>
      <c r="M182" s="3" t="s">
        <v>763</v>
      </c>
      <c r="N182" s="3" t="s">
        <v>764</v>
      </c>
      <c r="O182" s="3" t="s">
        <v>30</v>
      </c>
      <c r="P182" s="3" t="s">
        <v>30</v>
      </c>
      <c r="Q182" s="3"/>
      <c r="R182" s="3"/>
      <c r="S182" s="3"/>
      <c r="T182" s="3"/>
      <c r="U182" s="3"/>
      <c r="V182" s="3"/>
      <c r="W182" s="3"/>
      <c r="X182" s="3"/>
      <c r="Y182" s="3"/>
      <c r="Z182" s="3"/>
      <c r="AA182" s="3"/>
    </row>
    <row r="183" spans="1:27" ht="14.25" customHeight="1">
      <c r="A183" s="2">
        <v>46178</v>
      </c>
      <c r="B183" s="3" t="s">
        <v>81</v>
      </c>
      <c r="C183" s="3" t="s">
        <v>50</v>
      </c>
      <c r="D183" s="3" t="s">
        <v>51</v>
      </c>
      <c r="E183" s="3" t="s">
        <v>765</v>
      </c>
      <c r="F183" s="3"/>
      <c r="G183" s="3" t="s">
        <v>19</v>
      </c>
      <c r="H183" s="3"/>
      <c r="I183" s="3" t="s">
        <v>20</v>
      </c>
      <c r="J183" s="3"/>
      <c r="K183" s="3" t="s">
        <v>28</v>
      </c>
      <c r="L183" s="3" t="s">
        <v>28</v>
      </c>
      <c r="M183" s="3" t="s">
        <v>766</v>
      </c>
      <c r="N183" s="3" t="s">
        <v>767</v>
      </c>
      <c r="O183" s="3" t="s">
        <v>278</v>
      </c>
      <c r="P183" s="3" t="s">
        <v>30</v>
      </c>
      <c r="Q183" s="3"/>
      <c r="R183" s="3"/>
      <c r="S183" s="3"/>
      <c r="T183" s="3"/>
      <c r="U183" s="3"/>
      <c r="V183" s="3"/>
      <c r="W183" s="3"/>
      <c r="X183" s="3"/>
      <c r="Y183" s="3"/>
      <c r="Z183" s="3"/>
      <c r="AA183" s="3"/>
    </row>
    <row r="184" spans="1:27" ht="14.25" customHeight="1">
      <c r="A184" s="2">
        <v>46178</v>
      </c>
      <c r="B184" s="3" t="s">
        <v>81</v>
      </c>
      <c r="C184" s="3" t="s">
        <v>82</v>
      </c>
      <c r="D184" s="3" t="s">
        <v>95</v>
      </c>
      <c r="E184" s="3" t="s">
        <v>768</v>
      </c>
      <c r="F184" s="3"/>
      <c r="G184" s="3" t="s">
        <v>19</v>
      </c>
      <c r="H184" s="3"/>
      <c r="I184" s="3" t="s">
        <v>20</v>
      </c>
      <c r="J184" s="3"/>
      <c r="K184" s="3" t="s">
        <v>28</v>
      </c>
      <c r="L184" s="3" t="s">
        <v>28</v>
      </c>
      <c r="M184" s="3" t="s">
        <v>769</v>
      </c>
      <c r="N184" s="3" t="s">
        <v>770</v>
      </c>
      <c r="O184" s="3" t="s">
        <v>770</v>
      </c>
      <c r="P184" s="3" t="s">
        <v>771</v>
      </c>
      <c r="Q184" s="3"/>
      <c r="R184" s="3"/>
      <c r="S184" s="3"/>
      <c r="T184" s="3"/>
      <c r="U184" s="3"/>
      <c r="V184" s="3"/>
      <c r="W184" s="3"/>
      <c r="X184" s="3"/>
      <c r="Y184" s="3"/>
      <c r="Z184" s="3"/>
      <c r="AA184" s="3"/>
    </row>
    <row r="185" spans="1:27" ht="14.25" customHeight="1">
      <c r="A185" s="2">
        <v>46178</v>
      </c>
      <c r="B185" s="3" t="s">
        <v>81</v>
      </c>
      <c r="C185" s="3" t="s">
        <v>82</v>
      </c>
      <c r="D185" s="3" t="s">
        <v>475</v>
      </c>
      <c r="E185" s="3" t="s">
        <v>772</v>
      </c>
      <c r="F185" s="3"/>
      <c r="G185" s="3" t="s">
        <v>19</v>
      </c>
      <c r="H185" s="3"/>
      <c r="I185" s="3" t="s">
        <v>20</v>
      </c>
      <c r="J185" s="3"/>
      <c r="K185" s="3" t="s">
        <v>21</v>
      </c>
      <c r="L185" s="3" t="s">
        <v>28</v>
      </c>
      <c r="M185" s="3" t="s">
        <v>773</v>
      </c>
      <c r="N185" s="3" t="s">
        <v>774</v>
      </c>
      <c r="O185" s="3" t="s">
        <v>775</v>
      </c>
      <c r="P185" s="3" t="s">
        <v>48</v>
      </c>
      <c r="Q185" s="3"/>
      <c r="R185" s="3"/>
      <c r="S185" s="3"/>
      <c r="T185" s="3"/>
      <c r="U185" s="3"/>
      <c r="V185" s="3"/>
      <c r="W185" s="3"/>
      <c r="X185" s="3"/>
      <c r="Y185" s="3"/>
      <c r="Z185" s="3"/>
      <c r="AA185" s="3"/>
    </row>
    <row r="186" spans="1:27" ht="14.25" customHeight="1">
      <c r="A186" s="2">
        <v>46178</v>
      </c>
      <c r="B186" s="3" t="s">
        <v>81</v>
      </c>
      <c r="C186" s="3" t="s">
        <v>82</v>
      </c>
      <c r="D186" s="3" t="s">
        <v>475</v>
      </c>
      <c r="E186" s="3" t="s">
        <v>776</v>
      </c>
      <c r="F186" s="3"/>
      <c r="G186" s="3" t="s">
        <v>19</v>
      </c>
      <c r="H186" s="3"/>
      <c r="I186" s="3" t="s">
        <v>45</v>
      </c>
      <c r="J186" s="3"/>
      <c r="K186" s="3" t="s">
        <v>21</v>
      </c>
      <c r="L186" s="3" t="s">
        <v>21</v>
      </c>
      <c r="M186" s="3" t="s">
        <v>777</v>
      </c>
      <c r="N186" s="3" t="s">
        <v>778</v>
      </c>
      <c r="O186" s="3" t="s">
        <v>779</v>
      </c>
      <c r="P186" s="3" t="s">
        <v>48</v>
      </c>
      <c r="Q186" s="3"/>
      <c r="R186" s="3"/>
      <c r="S186" s="3"/>
      <c r="T186" s="3"/>
      <c r="U186" s="3"/>
      <c r="V186" s="3"/>
      <c r="W186" s="3"/>
      <c r="X186" s="3"/>
      <c r="Y186" s="3"/>
      <c r="Z186" s="3"/>
      <c r="AA186" s="3"/>
    </row>
    <row r="187" spans="1:27" ht="14.25" customHeight="1">
      <c r="A187" s="2">
        <v>46178</v>
      </c>
      <c r="B187" s="3" t="s">
        <v>81</v>
      </c>
      <c r="C187" s="3" t="s">
        <v>82</v>
      </c>
      <c r="D187" s="3" t="s">
        <v>475</v>
      </c>
      <c r="E187" s="3" t="s">
        <v>780</v>
      </c>
      <c r="F187" s="3"/>
      <c r="G187" s="3" t="s">
        <v>19</v>
      </c>
      <c r="H187" s="3"/>
      <c r="I187" s="3" t="s">
        <v>20</v>
      </c>
      <c r="J187" s="3"/>
      <c r="K187" s="3" t="s">
        <v>21</v>
      </c>
      <c r="L187" s="3" t="s">
        <v>21</v>
      </c>
      <c r="M187" s="3" t="s">
        <v>781</v>
      </c>
      <c r="N187" s="3" t="s">
        <v>48</v>
      </c>
      <c r="O187" s="3" t="s">
        <v>48</v>
      </c>
      <c r="P187" s="3"/>
      <c r="Q187" s="3"/>
      <c r="R187" s="3"/>
      <c r="S187" s="3"/>
      <c r="T187" s="3"/>
      <c r="U187" s="3"/>
      <c r="V187" s="3"/>
      <c r="W187" s="3"/>
      <c r="X187" s="3"/>
      <c r="Y187" s="3"/>
      <c r="Z187" s="3"/>
      <c r="AA187" s="3"/>
    </row>
    <row r="188" spans="1:27" ht="14.25" customHeight="1">
      <c r="A188" s="2">
        <v>46178</v>
      </c>
      <c r="B188" s="3" t="s">
        <v>15</v>
      </c>
      <c r="C188" s="3" t="s">
        <v>39</v>
      </c>
      <c r="D188" s="3" t="s">
        <v>67</v>
      </c>
      <c r="E188" s="3" t="s">
        <v>782</v>
      </c>
      <c r="F188" s="3"/>
      <c r="G188" s="3" t="s">
        <v>19</v>
      </c>
      <c r="H188" s="3"/>
      <c r="I188" s="3" t="s">
        <v>20</v>
      </c>
      <c r="J188" s="3"/>
      <c r="K188" s="3" t="s">
        <v>21</v>
      </c>
      <c r="L188" s="3" t="s">
        <v>21</v>
      </c>
      <c r="M188" s="3" t="s">
        <v>783</v>
      </c>
      <c r="N188" s="3" t="s">
        <v>48</v>
      </c>
      <c r="O188" s="3" t="s">
        <v>48</v>
      </c>
      <c r="P188" s="3" t="s">
        <v>784</v>
      </c>
      <c r="Q188" s="3"/>
      <c r="R188" s="3"/>
      <c r="S188" s="3"/>
      <c r="T188" s="3"/>
      <c r="U188" s="3"/>
      <c r="V188" s="3"/>
      <c r="W188" s="3"/>
      <c r="X188" s="3"/>
      <c r="Y188" s="3"/>
      <c r="Z188" s="3"/>
      <c r="AA188" s="3"/>
    </row>
    <row r="189" spans="1:27" ht="14.25" customHeight="1">
      <c r="A189" s="2">
        <v>46178</v>
      </c>
      <c r="B189" s="3" t="s">
        <v>81</v>
      </c>
      <c r="C189" s="3" t="s">
        <v>82</v>
      </c>
      <c r="D189" s="3" t="s">
        <v>475</v>
      </c>
      <c r="E189" s="3" t="s">
        <v>785</v>
      </c>
      <c r="F189" s="3"/>
      <c r="G189" s="3" t="s">
        <v>19</v>
      </c>
      <c r="H189" s="3"/>
      <c r="I189" s="3" t="s">
        <v>20</v>
      </c>
      <c r="J189" s="3" t="s">
        <v>21</v>
      </c>
      <c r="K189" s="3" t="s">
        <v>21</v>
      </c>
      <c r="L189" s="3" t="s">
        <v>28</v>
      </c>
      <c r="M189" s="3" t="s">
        <v>786</v>
      </c>
      <c r="N189" s="3" t="s">
        <v>787</v>
      </c>
      <c r="O189" s="3" t="s">
        <v>788</v>
      </c>
      <c r="P189" s="3" t="s">
        <v>48</v>
      </c>
      <c r="Q189" s="3"/>
      <c r="R189" s="3"/>
      <c r="S189" s="3"/>
      <c r="T189" s="3"/>
      <c r="U189" s="3"/>
      <c r="V189" s="3"/>
      <c r="W189" s="3"/>
      <c r="X189" s="3"/>
      <c r="Y189" s="3"/>
      <c r="Z189" s="3"/>
      <c r="AA189" s="3"/>
    </row>
    <row r="190" spans="1:27" ht="14.25" customHeight="1">
      <c r="A190" s="2">
        <v>46178</v>
      </c>
      <c r="B190" s="3" t="s">
        <v>81</v>
      </c>
      <c r="C190" s="3" t="s">
        <v>82</v>
      </c>
      <c r="D190" s="3" t="s">
        <v>475</v>
      </c>
      <c r="E190" s="3" t="s">
        <v>789</v>
      </c>
      <c r="F190" s="3"/>
      <c r="G190" s="3" t="s">
        <v>19</v>
      </c>
      <c r="H190" s="3"/>
      <c r="I190" s="3" t="s">
        <v>20</v>
      </c>
      <c r="J190" s="3"/>
      <c r="K190" s="3" t="s">
        <v>21</v>
      </c>
      <c r="L190" s="3" t="s">
        <v>21</v>
      </c>
      <c r="M190" s="3" t="s">
        <v>790</v>
      </c>
      <c r="N190" s="3" t="s">
        <v>513</v>
      </c>
      <c r="O190" s="3" t="s">
        <v>791</v>
      </c>
      <c r="P190" s="3"/>
      <c r="Q190" s="3"/>
      <c r="R190" s="3"/>
      <c r="S190" s="3"/>
      <c r="T190" s="3"/>
      <c r="U190" s="3"/>
      <c r="V190" s="3"/>
      <c r="W190" s="3"/>
      <c r="X190" s="3"/>
      <c r="Y190" s="3"/>
      <c r="Z190" s="3"/>
      <c r="AA190" s="3"/>
    </row>
    <row r="191" spans="1:27" ht="14.25" customHeight="1">
      <c r="A191" s="2">
        <v>46178</v>
      </c>
      <c r="B191" s="3" t="s">
        <v>81</v>
      </c>
      <c r="C191" s="3" t="s">
        <v>82</v>
      </c>
      <c r="D191" s="3" t="s">
        <v>95</v>
      </c>
      <c r="E191" s="3" t="s">
        <v>792</v>
      </c>
      <c r="F191" s="3"/>
      <c r="G191" s="3" t="s">
        <v>19</v>
      </c>
      <c r="H191" s="3"/>
      <c r="I191" s="3" t="s">
        <v>20</v>
      </c>
      <c r="J191" s="3"/>
      <c r="K191" s="3" t="s">
        <v>28</v>
      </c>
      <c r="L191" s="3" t="s">
        <v>28</v>
      </c>
      <c r="M191" s="3" t="s">
        <v>793</v>
      </c>
      <c r="N191" s="3" t="s">
        <v>794</v>
      </c>
      <c r="O191" s="3" t="s">
        <v>48</v>
      </c>
      <c r="P191" s="3" t="s">
        <v>795</v>
      </c>
      <c r="Q191" s="3"/>
      <c r="R191" s="3"/>
      <c r="S191" s="3"/>
      <c r="T191" s="3"/>
      <c r="U191" s="3"/>
      <c r="V191" s="3"/>
      <c r="W191" s="3"/>
      <c r="X191" s="3"/>
      <c r="Y191" s="3"/>
      <c r="Z191" s="3"/>
      <c r="AA191" s="3"/>
    </row>
    <row r="192" spans="1:27" ht="14.25" customHeight="1">
      <c r="A192" s="2">
        <v>46178</v>
      </c>
      <c r="B192" s="3" t="s">
        <v>81</v>
      </c>
      <c r="C192" s="3" t="s">
        <v>50</v>
      </c>
      <c r="D192" s="3" t="s">
        <v>136</v>
      </c>
      <c r="E192" s="3" t="s">
        <v>796</v>
      </c>
      <c r="F192" s="3"/>
      <c r="G192" s="3" t="s">
        <v>19</v>
      </c>
      <c r="H192" s="3"/>
      <c r="I192" s="3" t="s">
        <v>20</v>
      </c>
      <c r="J192" s="3"/>
      <c r="K192" s="3" t="s">
        <v>21</v>
      </c>
      <c r="L192" s="3" t="s">
        <v>21</v>
      </c>
      <c r="M192" s="3" t="s">
        <v>797</v>
      </c>
      <c r="N192" s="3" t="s">
        <v>798</v>
      </c>
      <c r="O192" s="3" t="s">
        <v>799</v>
      </c>
      <c r="P192" s="3" t="s">
        <v>30</v>
      </c>
      <c r="Q192" s="3"/>
      <c r="R192" s="3"/>
      <c r="S192" s="3"/>
      <c r="T192" s="3"/>
      <c r="U192" s="3"/>
      <c r="V192" s="3"/>
      <c r="W192" s="3"/>
      <c r="X192" s="3"/>
      <c r="Y192" s="3"/>
      <c r="Z192" s="3"/>
      <c r="AA192" s="3"/>
    </row>
    <row r="193" spans="1:27" ht="14.25" customHeight="1">
      <c r="A193" s="2">
        <v>46178</v>
      </c>
      <c r="B193" s="3" t="s">
        <v>15</v>
      </c>
      <c r="C193" s="3" t="s">
        <v>39</v>
      </c>
      <c r="D193" s="3" t="s">
        <v>67</v>
      </c>
      <c r="E193" s="3" t="s">
        <v>800</v>
      </c>
      <c r="F193" s="3"/>
      <c r="G193" s="3" t="s">
        <v>19</v>
      </c>
      <c r="H193" s="3"/>
      <c r="I193" s="3" t="s">
        <v>20</v>
      </c>
      <c r="J193" s="3"/>
      <c r="K193" s="3" t="s">
        <v>21</v>
      </c>
      <c r="L193" s="3" t="s">
        <v>21</v>
      </c>
      <c r="M193" s="3" t="s">
        <v>801</v>
      </c>
      <c r="N193" s="3" t="s">
        <v>802</v>
      </c>
      <c r="O193" s="3" t="s">
        <v>803</v>
      </c>
      <c r="P193" s="3"/>
      <c r="Q193" s="3"/>
      <c r="R193" s="3"/>
      <c r="S193" s="3"/>
      <c r="T193" s="3"/>
      <c r="U193" s="3"/>
      <c r="V193" s="3"/>
      <c r="W193" s="3"/>
      <c r="X193" s="3"/>
      <c r="Y193" s="3"/>
      <c r="Z193" s="3"/>
      <c r="AA193" s="3"/>
    </row>
    <row r="194" spans="1:27" ht="14.25" customHeight="1">
      <c r="A194" s="2">
        <v>46178</v>
      </c>
      <c r="B194" s="3" t="s">
        <v>81</v>
      </c>
      <c r="C194" s="3" t="s">
        <v>82</v>
      </c>
      <c r="D194" s="3" t="s">
        <v>288</v>
      </c>
      <c r="E194" s="3" t="s">
        <v>804</v>
      </c>
      <c r="F194" s="3"/>
      <c r="G194" s="3" t="s">
        <v>19</v>
      </c>
      <c r="H194" s="3"/>
      <c r="I194" s="3" t="s">
        <v>20</v>
      </c>
      <c r="J194" s="3"/>
      <c r="K194" s="3" t="s">
        <v>28</v>
      </c>
      <c r="L194" s="3" t="s">
        <v>28</v>
      </c>
      <c r="M194" s="3" t="s">
        <v>805</v>
      </c>
      <c r="N194" s="3" t="s">
        <v>806</v>
      </c>
      <c r="O194" s="3" t="s">
        <v>807</v>
      </c>
      <c r="P194" s="3" t="s">
        <v>808</v>
      </c>
      <c r="Q194" s="3"/>
      <c r="R194" s="3"/>
      <c r="S194" s="3"/>
      <c r="T194" s="3"/>
      <c r="U194" s="3"/>
      <c r="V194" s="3"/>
      <c r="W194" s="3"/>
      <c r="X194" s="3"/>
      <c r="Y194" s="3"/>
      <c r="Z194" s="3"/>
      <c r="AA194" s="3"/>
    </row>
    <row r="195" spans="1:27" ht="14.25" customHeight="1">
      <c r="A195" s="2">
        <v>46178</v>
      </c>
      <c r="B195" s="3" t="s">
        <v>15</v>
      </c>
      <c r="C195" s="3" t="s">
        <v>39</v>
      </c>
      <c r="D195" s="3" t="s">
        <v>67</v>
      </c>
      <c r="E195" s="3" t="s">
        <v>809</v>
      </c>
      <c r="F195" s="3"/>
      <c r="G195" s="3" t="s">
        <v>19</v>
      </c>
      <c r="H195" s="3"/>
      <c r="I195" s="3" t="s">
        <v>45</v>
      </c>
      <c r="J195" s="3"/>
      <c r="K195" s="3" t="s">
        <v>28</v>
      </c>
      <c r="L195" s="3" t="s">
        <v>28</v>
      </c>
      <c r="M195" s="3" t="s">
        <v>810</v>
      </c>
      <c r="N195" s="3" t="s">
        <v>811</v>
      </c>
      <c r="O195" s="3" t="s">
        <v>30</v>
      </c>
      <c r="P195" s="3" t="s">
        <v>48</v>
      </c>
      <c r="Q195" s="3"/>
      <c r="R195" s="3"/>
      <c r="S195" s="3"/>
      <c r="T195" s="3"/>
      <c r="U195" s="3"/>
      <c r="V195" s="3"/>
      <c r="W195" s="3"/>
      <c r="X195" s="3"/>
      <c r="Y195" s="3"/>
      <c r="Z195" s="3"/>
      <c r="AA195" s="3"/>
    </row>
    <row r="196" spans="1:27" ht="14.25" customHeight="1">
      <c r="A196" s="2">
        <v>46178</v>
      </c>
      <c r="B196" s="3" t="s">
        <v>81</v>
      </c>
      <c r="C196" s="3" t="s">
        <v>82</v>
      </c>
      <c r="D196" s="3" t="s">
        <v>475</v>
      </c>
      <c r="E196" s="3" t="s">
        <v>812</v>
      </c>
      <c r="F196" s="3"/>
      <c r="G196" s="3" t="s">
        <v>19</v>
      </c>
      <c r="H196" s="3"/>
      <c r="I196" s="3" t="s">
        <v>20</v>
      </c>
      <c r="J196" s="3"/>
      <c r="K196" s="3" t="s">
        <v>28</v>
      </c>
      <c r="L196" s="3" t="s">
        <v>21</v>
      </c>
      <c r="M196" s="3" t="s">
        <v>813</v>
      </c>
      <c r="N196" s="3" t="s">
        <v>48</v>
      </c>
      <c r="O196" s="3" t="s">
        <v>814</v>
      </c>
      <c r="P196" s="3" t="s">
        <v>48</v>
      </c>
      <c r="Q196" s="3"/>
      <c r="R196" s="3"/>
      <c r="S196" s="3"/>
      <c r="T196" s="3"/>
      <c r="U196" s="3"/>
      <c r="V196" s="3"/>
      <c r="W196" s="3"/>
      <c r="X196" s="3"/>
      <c r="Y196" s="3"/>
      <c r="Z196" s="3"/>
      <c r="AA196" s="3"/>
    </row>
    <row r="197" spans="1:27" ht="14.25" customHeight="1">
      <c r="A197" s="2">
        <v>46178</v>
      </c>
      <c r="B197" s="3" t="s">
        <v>81</v>
      </c>
      <c r="C197" s="3" t="s">
        <v>82</v>
      </c>
      <c r="D197" s="3" t="s">
        <v>475</v>
      </c>
      <c r="E197" s="3" t="s">
        <v>815</v>
      </c>
      <c r="F197" s="3"/>
      <c r="G197" s="3" t="s">
        <v>19</v>
      </c>
      <c r="H197" s="3"/>
      <c r="I197" s="3" t="s">
        <v>20</v>
      </c>
      <c r="J197" s="3"/>
      <c r="K197" s="3" t="s">
        <v>186</v>
      </c>
      <c r="L197" s="3" t="s">
        <v>21</v>
      </c>
      <c r="M197" s="3" t="s">
        <v>816</v>
      </c>
      <c r="N197" s="3" t="s">
        <v>30</v>
      </c>
      <c r="O197" s="3" t="s">
        <v>817</v>
      </c>
      <c r="P197" s="3"/>
      <c r="Q197" s="3"/>
      <c r="R197" s="3"/>
      <c r="S197" s="3"/>
      <c r="T197" s="3"/>
      <c r="U197" s="3"/>
      <c r="V197" s="3"/>
      <c r="W197" s="3"/>
      <c r="X197" s="3"/>
      <c r="Y197" s="3"/>
      <c r="Z197" s="3"/>
      <c r="AA197" s="3"/>
    </row>
    <row r="198" spans="1:27" ht="14.25" customHeight="1">
      <c r="A198" s="2">
        <v>46178</v>
      </c>
      <c r="B198" s="3" t="s">
        <v>150</v>
      </c>
      <c r="C198" s="3" t="s">
        <v>151</v>
      </c>
      <c r="D198" s="3" t="s">
        <v>150</v>
      </c>
      <c r="E198" s="3" t="s">
        <v>818</v>
      </c>
      <c r="F198" s="3"/>
      <c r="G198" s="3" t="s">
        <v>19</v>
      </c>
      <c r="H198" s="3"/>
      <c r="I198" s="3" t="s">
        <v>20</v>
      </c>
      <c r="J198" s="3"/>
      <c r="K198" s="3" t="s">
        <v>21</v>
      </c>
      <c r="L198" s="3" t="s">
        <v>21</v>
      </c>
      <c r="M198" s="3" t="s">
        <v>819</v>
      </c>
      <c r="N198" s="3" t="s">
        <v>820</v>
      </c>
      <c r="O198" s="3" t="s">
        <v>300</v>
      </c>
      <c r="P198" s="3" t="s">
        <v>300</v>
      </c>
      <c r="Q198" s="3"/>
      <c r="R198" s="3"/>
      <c r="S198" s="3"/>
      <c r="T198" s="3"/>
      <c r="U198" s="3"/>
      <c r="V198" s="3"/>
      <c r="W198" s="3"/>
      <c r="X198" s="3"/>
      <c r="Y198" s="3"/>
      <c r="Z198" s="3"/>
      <c r="AA198" s="3"/>
    </row>
    <row r="199" spans="1:27" ht="14.25" customHeight="1">
      <c r="A199" s="2">
        <v>46178</v>
      </c>
      <c r="B199" s="3" t="s">
        <v>81</v>
      </c>
      <c r="C199" s="3" t="s">
        <v>82</v>
      </c>
      <c r="D199" s="3" t="s">
        <v>288</v>
      </c>
      <c r="E199" s="3" t="s">
        <v>821</v>
      </c>
      <c r="F199" s="3"/>
      <c r="G199" s="3" t="s">
        <v>19</v>
      </c>
      <c r="H199" s="3"/>
      <c r="I199" s="3" t="s">
        <v>20</v>
      </c>
      <c r="J199" s="3"/>
      <c r="K199" s="3" t="s">
        <v>28</v>
      </c>
      <c r="L199" s="3" t="s">
        <v>28</v>
      </c>
      <c r="M199" s="3" t="s">
        <v>822</v>
      </c>
      <c r="N199" s="3" t="s">
        <v>823</v>
      </c>
      <c r="O199" s="3" t="s">
        <v>824</v>
      </c>
      <c r="P199" s="3" t="s">
        <v>825</v>
      </c>
      <c r="Q199" s="3"/>
      <c r="R199" s="3"/>
      <c r="S199" s="3"/>
      <c r="T199" s="3"/>
      <c r="U199" s="3"/>
      <c r="V199" s="3"/>
      <c r="W199" s="3"/>
      <c r="X199" s="3"/>
      <c r="Y199" s="3"/>
      <c r="Z199" s="3"/>
      <c r="AA199" s="3"/>
    </row>
    <row r="200" spans="1:27" ht="14.25" customHeight="1">
      <c r="A200" s="2">
        <v>46178</v>
      </c>
      <c r="B200" s="3" t="s">
        <v>15</v>
      </c>
      <c r="C200" s="3" t="s">
        <v>16</v>
      </c>
      <c r="D200" s="3" t="s">
        <v>17</v>
      </c>
      <c r="E200" s="3" t="s">
        <v>826</v>
      </c>
      <c r="F200" s="3"/>
      <c r="G200" s="3" t="s">
        <v>107</v>
      </c>
      <c r="H200" s="3"/>
      <c r="I200" s="3" t="s">
        <v>20</v>
      </c>
      <c r="J200" s="3"/>
      <c r="K200" s="3" t="s">
        <v>21</v>
      </c>
      <c r="L200" s="3" t="s">
        <v>28</v>
      </c>
      <c r="M200" s="3" t="s">
        <v>827</v>
      </c>
      <c r="N200" s="3" t="s">
        <v>828</v>
      </c>
      <c r="O200" s="3" t="s">
        <v>829</v>
      </c>
      <c r="P200" s="3" t="s">
        <v>30</v>
      </c>
      <c r="Q200" s="3"/>
      <c r="R200" s="3"/>
      <c r="S200" s="3"/>
      <c r="T200" s="3"/>
      <c r="U200" s="3"/>
      <c r="V200" s="3"/>
      <c r="W200" s="3"/>
      <c r="X200" s="3"/>
      <c r="Y200" s="3"/>
      <c r="Z200" s="3"/>
      <c r="AA200" s="3"/>
    </row>
    <row r="201" spans="1:27" ht="14.25" customHeight="1">
      <c r="A201" s="2">
        <v>46178</v>
      </c>
      <c r="B201" s="3" t="s">
        <v>15</v>
      </c>
      <c r="C201" s="3" t="s">
        <v>33</v>
      </c>
      <c r="D201" s="3" t="s">
        <v>62</v>
      </c>
      <c r="E201" s="3" t="s">
        <v>830</v>
      </c>
      <c r="F201" s="3"/>
      <c r="G201" s="3" t="s">
        <v>19</v>
      </c>
      <c r="H201" s="3"/>
      <c r="I201" s="3" t="s">
        <v>20</v>
      </c>
      <c r="J201" s="3"/>
      <c r="K201" s="3" t="s">
        <v>186</v>
      </c>
      <c r="L201" s="3" t="s">
        <v>28</v>
      </c>
      <c r="M201" s="3" t="s">
        <v>831</v>
      </c>
      <c r="N201" s="3" t="s">
        <v>832</v>
      </c>
      <c r="O201" s="3" t="s">
        <v>833</v>
      </c>
      <c r="P201" s="3"/>
      <c r="Q201" s="3"/>
      <c r="R201" s="3"/>
      <c r="S201" s="3"/>
      <c r="T201" s="3"/>
      <c r="U201" s="3"/>
      <c r="V201" s="3"/>
      <c r="W201" s="3"/>
      <c r="X201" s="3"/>
      <c r="Y201" s="3"/>
      <c r="Z201" s="3"/>
      <c r="AA201" s="3"/>
    </row>
    <row r="202" spans="1:27" ht="14.25" customHeight="1">
      <c r="A202" s="2">
        <v>46178</v>
      </c>
      <c r="B202" s="3" t="s">
        <v>81</v>
      </c>
      <c r="C202" s="3" t="s">
        <v>82</v>
      </c>
      <c r="D202" s="3" t="s">
        <v>83</v>
      </c>
      <c r="E202" s="3" t="s">
        <v>834</v>
      </c>
      <c r="F202" s="3"/>
      <c r="G202" s="3" t="s">
        <v>19</v>
      </c>
      <c r="H202" s="3"/>
      <c r="I202" s="3" t="s">
        <v>20</v>
      </c>
      <c r="J202" s="3"/>
      <c r="K202" s="3" t="s">
        <v>21</v>
      </c>
      <c r="L202" s="3" t="s">
        <v>21</v>
      </c>
      <c r="M202" s="3" t="s">
        <v>835</v>
      </c>
      <c r="N202" s="3" t="s">
        <v>836</v>
      </c>
      <c r="O202" s="3" t="s">
        <v>837</v>
      </c>
      <c r="P202" s="3" t="s">
        <v>48</v>
      </c>
      <c r="Q202" s="3"/>
      <c r="R202" s="3"/>
      <c r="S202" s="3"/>
      <c r="T202" s="3"/>
      <c r="U202" s="3"/>
      <c r="V202" s="3"/>
      <c r="W202" s="3"/>
      <c r="X202" s="3"/>
      <c r="Y202" s="3"/>
      <c r="Z202" s="3"/>
      <c r="AA202" s="3"/>
    </row>
    <row r="203" spans="1:27" ht="14.25" customHeight="1">
      <c r="A203" s="2">
        <v>46178</v>
      </c>
      <c r="B203" s="3" t="s">
        <v>81</v>
      </c>
      <c r="C203" s="3" t="s">
        <v>50</v>
      </c>
      <c r="D203" s="3" t="s">
        <v>136</v>
      </c>
      <c r="E203" s="3" t="s">
        <v>838</v>
      </c>
      <c r="F203" s="3"/>
      <c r="G203" s="3" t="s">
        <v>19</v>
      </c>
      <c r="H203" s="3"/>
      <c r="I203" s="3" t="s">
        <v>20</v>
      </c>
      <c r="J203" s="3"/>
      <c r="K203" s="3" t="s">
        <v>21</v>
      </c>
      <c r="L203" s="3" t="s">
        <v>21</v>
      </c>
      <c r="M203" s="3" t="s">
        <v>839</v>
      </c>
      <c r="N203" s="3" t="s">
        <v>840</v>
      </c>
      <c r="O203" s="3" t="s">
        <v>841</v>
      </c>
      <c r="P203" s="3"/>
      <c r="Q203" s="3"/>
      <c r="R203" s="3"/>
      <c r="S203" s="3"/>
      <c r="T203" s="3"/>
      <c r="U203" s="3"/>
      <c r="V203" s="3"/>
      <c r="W203" s="3"/>
      <c r="X203" s="3"/>
      <c r="Y203" s="3"/>
      <c r="Z203" s="3"/>
      <c r="AA203" s="3"/>
    </row>
    <row r="204" spans="1:27" ht="14.25" customHeight="1">
      <c r="A204" s="2">
        <v>46178</v>
      </c>
      <c r="B204" s="3" t="s">
        <v>81</v>
      </c>
      <c r="C204" s="3" t="s">
        <v>82</v>
      </c>
      <c r="D204" s="3" t="s">
        <v>95</v>
      </c>
      <c r="E204" s="3" t="s">
        <v>842</v>
      </c>
      <c r="F204" s="3"/>
      <c r="G204" s="3" t="s">
        <v>19</v>
      </c>
      <c r="H204" s="3"/>
      <c r="I204" s="3" t="s">
        <v>20</v>
      </c>
      <c r="J204" s="3"/>
      <c r="K204" s="3" t="s">
        <v>604</v>
      </c>
      <c r="L204" s="3" t="s">
        <v>604</v>
      </c>
      <c r="M204" s="3" t="s">
        <v>843</v>
      </c>
      <c r="N204" s="3" t="s">
        <v>844</v>
      </c>
      <c r="O204" s="3" t="s">
        <v>845</v>
      </c>
      <c r="P204" s="3" t="s">
        <v>846</v>
      </c>
      <c r="Q204" s="3"/>
      <c r="R204" s="3"/>
      <c r="S204" s="3"/>
      <c r="T204" s="3"/>
      <c r="U204" s="3"/>
      <c r="V204" s="3"/>
      <c r="W204" s="3"/>
      <c r="X204" s="3"/>
      <c r="Y204" s="3"/>
      <c r="Z204" s="3"/>
      <c r="AA204" s="3"/>
    </row>
    <row r="205" spans="1:27" ht="14.25" customHeight="1">
      <c r="A205" s="2">
        <v>46178</v>
      </c>
      <c r="B205" s="3" t="s">
        <v>81</v>
      </c>
      <c r="C205" s="3" t="s">
        <v>82</v>
      </c>
      <c r="D205" s="3" t="s">
        <v>475</v>
      </c>
      <c r="E205" s="3" t="s">
        <v>847</v>
      </c>
      <c r="F205" s="3"/>
      <c r="G205" s="3" t="s">
        <v>19</v>
      </c>
      <c r="H205" s="3"/>
      <c r="I205" s="3" t="s">
        <v>20</v>
      </c>
      <c r="J205" s="3"/>
      <c r="K205" s="3" t="s">
        <v>21</v>
      </c>
      <c r="L205" s="3" t="s">
        <v>21</v>
      </c>
      <c r="M205" s="3" t="s">
        <v>848</v>
      </c>
      <c r="N205" s="3" t="s">
        <v>849</v>
      </c>
      <c r="O205" s="3" t="s">
        <v>850</v>
      </c>
      <c r="P205" s="3" t="s">
        <v>30</v>
      </c>
      <c r="Q205" s="3"/>
      <c r="R205" s="3"/>
      <c r="S205" s="3"/>
      <c r="T205" s="3"/>
      <c r="U205" s="3"/>
      <c r="V205" s="3"/>
      <c r="W205" s="3"/>
      <c r="X205" s="3"/>
      <c r="Y205" s="3"/>
      <c r="Z205" s="3"/>
      <c r="AA205" s="3"/>
    </row>
    <row r="206" spans="1:27" ht="14.25" customHeight="1">
      <c r="A206" s="2">
        <v>46178</v>
      </c>
      <c r="B206" s="3" t="s">
        <v>81</v>
      </c>
      <c r="C206" s="3" t="s">
        <v>82</v>
      </c>
      <c r="D206" s="3" t="s">
        <v>475</v>
      </c>
      <c r="E206" s="3" t="s">
        <v>851</v>
      </c>
      <c r="F206" s="3"/>
      <c r="G206" s="3" t="s">
        <v>19</v>
      </c>
      <c r="H206" s="3"/>
      <c r="I206" s="3" t="s">
        <v>20</v>
      </c>
      <c r="J206" s="3"/>
      <c r="K206" s="3" t="s">
        <v>21</v>
      </c>
      <c r="L206" s="3" t="s">
        <v>21</v>
      </c>
      <c r="M206" s="3" t="s">
        <v>852</v>
      </c>
      <c r="N206" s="3" t="s">
        <v>281</v>
      </c>
      <c r="O206" s="3" t="s">
        <v>48</v>
      </c>
      <c r="P206" s="3"/>
      <c r="Q206" s="3"/>
      <c r="R206" s="3"/>
      <c r="S206" s="3"/>
      <c r="T206" s="3"/>
      <c r="U206" s="3"/>
      <c r="V206" s="3"/>
      <c r="W206" s="3"/>
      <c r="X206" s="3"/>
      <c r="Y206" s="3"/>
      <c r="Z206" s="3"/>
      <c r="AA206" s="3"/>
    </row>
    <row r="207" spans="1:27" ht="14.25" customHeight="1">
      <c r="A207" s="2">
        <v>46178</v>
      </c>
      <c r="B207" s="3" t="s">
        <v>15</v>
      </c>
      <c r="C207" s="3" t="s">
        <v>16</v>
      </c>
      <c r="D207" s="3" t="s">
        <v>17</v>
      </c>
      <c r="E207" s="3" t="s">
        <v>853</v>
      </c>
      <c r="F207" s="3"/>
      <c r="G207" s="3" t="s">
        <v>107</v>
      </c>
      <c r="H207" s="3"/>
      <c r="I207" s="3" t="s">
        <v>20</v>
      </c>
      <c r="J207" s="3"/>
      <c r="K207" s="3" t="s">
        <v>21</v>
      </c>
      <c r="L207" s="3" t="s">
        <v>21</v>
      </c>
      <c r="M207" s="3" t="s">
        <v>854</v>
      </c>
      <c r="N207" s="3" t="s">
        <v>855</v>
      </c>
      <c r="O207" s="3" t="s">
        <v>856</v>
      </c>
      <c r="P207" s="3" t="s">
        <v>30</v>
      </c>
      <c r="Q207" s="3"/>
      <c r="R207" s="3"/>
      <c r="S207" s="3"/>
      <c r="T207" s="3"/>
      <c r="U207" s="3"/>
      <c r="V207" s="3"/>
      <c r="W207" s="3"/>
      <c r="X207" s="3"/>
      <c r="Y207" s="3"/>
      <c r="Z207" s="3"/>
      <c r="AA207" s="3"/>
    </row>
    <row r="208" spans="1:27" ht="14.25" customHeight="1">
      <c r="A208" s="2">
        <v>46178</v>
      </c>
      <c r="B208" s="3" t="s">
        <v>15</v>
      </c>
      <c r="C208" s="3" t="s">
        <v>39</v>
      </c>
      <c r="D208" s="3" t="s">
        <v>57</v>
      </c>
      <c r="E208" s="3" t="s">
        <v>857</v>
      </c>
      <c r="F208" s="3"/>
      <c r="G208" s="3" t="s">
        <v>19</v>
      </c>
      <c r="H208" s="3"/>
      <c r="I208" s="3" t="s">
        <v>45</v>
      </c>
      <c r="J208" s="3"/>
      <c r="K208" s="3" t="s">
        <v>28</v>
      </c>
      <c r="L208" s="3" t="s">
        <v>28</v>
      </c>
      <c r="M208" s="3" t="s">
        <v>858</v>
      </c>
      <c r="N208" s="3" t="s">
        <v>859</v>
      </c>
      <c r="O208" s="3" t="s">
        <v>860</v>
      </c>
      <c r="P208" s="3" t="s">
        <v>123</v>
      </c>
      <c r="Q208" s="3"/>
      <c r="R208" s="3"/>
      <c r="S208" s="3"/>
      <c r="T208" s="3"/>
      <c r="U208" s="3"/>
      <c r="V208" s="3"/>
      <c r="W208" s="3"/>
      <c r="X208" s="3"/>
      <c r="Y208" s="3"/>
      <c r="Z208" s="3"/>
      <c r="AA208" s="3"/>
    </row>
    <row r="209" spans="1:27" ht="14.25" customHeight="1">
      <c r="A209" s="2">
        <v>46178</v>
      </c>
      <c r="B209" s="3" t="s">
        <v>81</v>
      </c>
      <c r="C209" s="3" t="s">
        <v>82</v>
      </c>
      <c r="D209" s="3" t="s">
        <v>475</v>
      </c>
      <c r="E209" s="3" t="s">
        <v>861</v>
      </c>
      <c r="F209" s="3"/>
      <c r="G209" s="3" t="s">
        <v>19</v>
      </c>
      <c r="H209" s="3"/>
      <c r="I209" s="3" t="s">
        <v>20</v>
      </c>
      <c r="J209" s="3"/>
      <c r="K209" s="3" t="s">
        <v>21</v>
      </c>
      <c r="L209" s="3" t="s">
        <v>28</v>
      </c>
      <c r="M209" s="3" t="s">
        <v>862</v>
      </c>
      <c r="N209" s="3" t="s">
        <v>281</v>
      </c>
      <c r="O209" s="3" t="s">
        <v>281</v>
      </c>
      <c r="P209" s="3" t="s">
        <v>863</v>
      </c>
      <c r="Q209" s="3"/>
      <c r="R209" s="3"/>
      <c r="S209" s="3"/>
      <c r="T209" s="3"/>
      <c r="U209" s="3"/>
      <c r="V209" s="3"/>
      <c r="W209" s="3"/>
      <c r="X209" s="3"/>
      <c r="Y209" s="3"/>
      <c r="Z209" s="3"/>
      <c r="AA209" s="3"/>
    </row>
    <row r="210" spans="1:27" ht="14.25" customHeight="1">
      <c r="A210" s="2">
        <v>46178</v>
      </c>
      <c r="B210" s="3" t="s">
        <v>15</v>
      </c>
      <c r="C210" s="3" t="s">
        <v>16</v>
      </c>
      <c r="D210" s="3" t="s">
        <v>105</v>
      </c>
      <c r="E210" s="3" t="s">
        <v>864</v>
      </c>
      <c r="F210" s="3"/>
      <c r="G210" s="3" t="s">
        <v>19</v>
      </c>
      <c r="H210" s="3"/>
      <c r="I210" s="3" t="s">
        <v>45</v>
      </c>
      <c r="J210" s="3"/>
      <c r="K210" s="3" t="s">
        <v>28</v>
      </c>
      <c r="L210" s="3" t="s">
        <v>28</v>
      </c>
      <c r="M210" s="3" t="s">
        <v>865</v>
      </c>
      <c r="N210" s="3" t="s">
        <v>866</v>
      </c>
      <c r="O210" s="3" t="s">
        <v>867</v>
      </c>
      <c r="P210" s="3" t="s">
        <v>30</v>
      </c>
      <c r="Q210" s="3"/>
      <c r="R210" s="3"/>
      <c r="S210" s="3"/>
      <c r="T210" s="3"/>
      <c r="U210" s="3"/>
      <c r="V210" s="3"/>
      <c r="W210" s="3"/>
      <c r="X210" s="3"/>
      <c r="Y210" s="3"/>
      <c r="Z210" s="3"/>
      <c r="AA210" s="3"/>
    </row>
    <row r="211" spans="1:27" ht="14.25" customHeight="1">
      <c r="A211" s="2">
        <v>46178</v>
      </c>
      <c r="B211" s="3" t="s">
        <v>81</v>
      </c>
      <c r="C211" s="3" t="s">
        <v>82</v>
      </c>
      <c r="D211" s="3" t="s">
        <v>475</v>
      </c>
      <c r="E211" s="3" t="s">
        <v>868</v>
      </c>
      <c r="F211" s="3"/>
      <c r="G211" s="3" t="s">
        <v>19</v>
      </c>
      <c r="H211" s="3"/>
      <c r="I211" s="3" t="s">
        <v>20</v>
      </c>
      <c r="J211" s="3"/>
      <c r="K211" s="3" t="s">
        <v>21</v>
      </c>
      <c r="L211" s="3" t="s">
        <v>21</v>
      </c>
      <c r="M211" s="3" t="s">
        <v>869</v>
      </c>
      <c r="N211" s="3" t="s">
        <v>870</v>
      </c>
      <c r="O211" s="3" t="s">
        <v>871</v>
      </c>
      <c r="P211" s="3" t="s">
        <v>30</v>
      </c>
      <c r="Q211" s="3"/>
      <c r="R211" s="3"/>
      <c r="S211" s="3"/>
      <c r="T211" s="3"/>
      <c r="U211" s="3"/>
      <c r="V211" s="3"/>
      <c r="W211" s="3"/>
      <c r="X211" s="3"/>
      <c r="Y211" s="3"/>
      <c r="Z211" s="3"/>
      <c r="AA211" s="3"/>
    </row>
    <row r="212" spans="1:27" ht="14.25" customHeight="1">
      <c r="A212" s="2">
        <v>46178</v>
      </c>
      <c r="B212" s="3" t="s">
        <v>15</v>
      </c>
      <c r="C212" s="3" t="s">
        <v>33</v>
      </c>
      <c r="D212" s="3" t="s">
        <v>553</v>
      </c>
      <c r="E212" s="3" t="s">
        <v>872</v>
      </c>
      <c r="F212" s="3"/>
      <c r="G212" s="3" t="s">
        <v>107</v>
      </c>
      <c r="H212" s="3"/>
      <c r="I212" s="3" t="s">
        <v>20</v>
      </c>
      <c r="J212" s="3"/>
      <c r="K212" s="3" t="s">
        <v>21</v>
      </c>
      <c r="L212" s="3" t="s">
        <v>21</v>
      </c>
      <c r="M212" s="3" t="s">
        <v>873</v>
      </c>
      <c r="N212" s="3" t="s">
        <v>48</v>
      </c>
      <c r="O212" s="3" t="s">
        <v>48</v>
      </c>
      <c r="P212" s="3" t="s">
        <v>874</v>
      </c>
      <c r="Q212" s="3"/>
      <c r="R212" s="3"/>
      <c r="S212" s="3"/>
      <c r="T212" s="3"/>
      <c r="U212" s="3"/>
      <c r="V212" s="3"/>
      <c r="W212" s="3"/>
      <c r="X212" s="3"/>
      <c r="Y212" s="3"/>
      <c r="Z212" s="3"/>
      <c r="AA212" s="3"/>
    </row>
    <row r="213" spans="1:27" ht="14.25" customHeight="1">
      <c r="A213" s="2">
        <v>46178</v>
      </c>
      <c r="B213" s="3" t="s">
        <v>81</v>
      </c>
      <c r="C213" s="3" t="s">
        <v>50</v>
      </c>
      <c r="D213" s="3" t="s">
        <v>136</v>
      </c>
      <c r="E213" s="3" t="s">
        <v>875</v>
      </c>
      <c r="F213" s="3"/>
      <c r="G213" s="3" t="s">
        <v>19</v>
      </c>
      <c r="H213" s="3"/>
      <c r="I213" s="3" t="s">
        <v>20</v>
      </c>
      <c r="J213" s="3"/>
      <c r="K213" s="3" t="s">
        <v>21</v>
      </c>
      <c r="L213" s="3" t="s">
        <v>28</v>
      </c>
      <c r="M213" s="3" t="s">
        <v>876</v>
      </c>
      <c r="N213" s="3" t="s">
        <v>877</v>
      </c>
      <c r="O213" s="3" t="s">
        <v>878</v>
      </c>
      <c r="P213" s="3" t="s">
        <v>879</v>
      </c>
      <c r="Q213" s="3"/>
      <c r="R213" s="3"/>
      <c r="S213" s="3"/>
      <c r="T213" s="3"/>
      <c r="U213" s="3"/>
      <c r="V213" s="3"/>
      <c r="W213" s="3"/>
      <c r="X213" s="3"/>
      <c r="Y213" s="3"/>
      <c r="Z213" s="3"/>
      <c r="AA213" s="3"/>
    </row>
    <row r="214" spans="1:27" ht="14.25" customHeight="1">
      <c r="A214" s="2">
        <v>46178</v>
      </c>
      <c r="B214" s="3" t="s">
        <v>15</v>
      </c>
      <c r="C214" s="3" t="s">
        <v>16</v>
      </c>
      <c r="D214" s="3" t="s">
        <v>663</v>
      </c>
      <c r="E214" s="3" t="s">
        <v>880</v>
      </c>
      <c r="F214" s="3"/>
      <c r="G214" s="3" t="s">
        <v>107</v>
      </c>
      <c r="H214" s="3"/>
      <c r="I214" s="3" t="s">
        <v>45</v>
      </c>
      <c r="J214" s="3"/>
      <c r="K214" s="3" t="s">
        <v>21</v>
      </c>
      <c r="L214" s="3" t="s">
        <v>21</v>
      </c>
      <c r="M214" s="3" t="s">
        <v>881</v>
      </c>
      <c r="N214" s="3" t="s">
        <v>882</v>
      </c>
      <c r="O214" s="3" t="s">
        <v>883</v>
      </c>
      <c r="P214" s="3"/>
      <c r="Q214" s="3"/>
      <c r="R214" s="3"/>
      <c r="S214" s="3"/>
      <c r="T214" s="3"/>
      <c r="U214" s="3"/>
      <c r="V214" s="3"/>
      <c r="W214" s="3"/>
      <c r="X214" s="3"/>
      <c r="Y214" s="3"/>
      <c r="Z214" s="3"/>
      <c r="AA214" s="3"/>
    </row>
    <row r="215" spans="1:27" ht="14.25" customHeight="1">
      <c r="A215" s="2">
        <v>46178</v>
      </c>
      <c r="B215" s="3" t="s">
        <v>81</v>
      </c>
      <c r="C215" s="3" t="s">
        <v>82</v>
      </c>
      <c r="D215" s="3" t="s">
        <v>475</v>
      </c>
      <c r="E215" s="3" t="s">
        <v>884</v>
      </c>
      <c r="F215" s="3"/>
      <c r="G215" s="3" t="s">
        <v>19</v>
      </c>
      <c r="H215" s="3"/>
      <c r="I215" s="3" t="s">
        <v>20</v>
      </c>
      <c r="J215" s="3" t="s">
        <v>21</v>
      </c>
      <c r="K215" s="3" t="s">
        <v>21</v>
      </c>
      <c r="L215" s="3" t="s">
        <v>21</v>
      </c>
      <c r="M215" s="3" t="s">
        <v>885</v>
      </c>
      <c r="N215" s="3" t="s">
        <v>30</v>
      </c>
      <c r="O215" s="3" t="s">
        <v>886</v>
      </c>
      <c r="P215" s="3" t="s">
        <v>30</v>
      </c>
      <c r="Q215" s="3"/>
      <c r="R215" s="3"/>
      <c r="S215" s="3"/>
      <c r="T215" s="3"/>
      <c r="U215" s="3"/>
      <c r="V215" s="3"/>
      <c r="W215" s="3"/>
      <c r="X215" s="3"/>
      <c r="Y215" s="3"/>
      <c r="Z215" s="3"/>
      <c r="AA215" s="3"/>
    </row>
    <row r="216" spans="1:27" ht="14.25" customHeight="1">
      <c r="A216" s="2">
        <v>46178</v>
      </c>
      <c r="B216" s="3" t="s">
        <v>15</v>
      </c>
      <c r="C216" s="3" t="s">
        <v>16</v>
      </c>
      <c r="D216" s="3" t="s">
        <v>17</v>
      </c>
      <c r="E216" s="3" t="s">
        <v>887</v>
      </c>
      <c r="F216" s="3"/>
      <c r="G216" s="3" t="s">
        <v>19</v>
      </c>
      <c r="H216" s="3"/>
      <c r="I216" s="3" t="s">
        <v>20</v>
      </c>
      <c r="J216" s="3"/>
      <c r="K216" s="3" t="s">
        <v>28</v>
      </c>
      <c r="L216" s="3" t="s">
        <v>28</v>
      </c>
      <c r="M216" s="3" t="s">
        <v>888</v>
      </c>
      <c r="N216" s="3" t="s">
        <v>30</v>
      </c>
      <c r="O216" s="3" t="s">
        <v>30</v>
      </c>
      <c r="P216" s="3" t="s">
        <v>30</v>
      </c>
      <c r="Q216" s="3"/>
      <c r="R216" s="3"/>
      <c r="S216" s="3"/>
      <c r="T216" s="3"/>
      <c r="U216" s="3"/>
      <c r="V216" s="3"/>
      <c r="W216" s="3"/>
      <c r="X216" s="3"/>
      <c r="Y216" s="3"/>
      <c r="Z216" s="3"/>
      <c r="AA216" s="3"/>
    </row>
    <row r="217" spans="1:27" ht="14.25" customHeight="1">
      <c r="A217" s="2">
        <v>46178</v>
      </c>
      <c r="B217" s="3" t="s">
        <v>15</v>
      </c>
      <c r="C217" s="3" t="s">
        <v>16</v>
      </c>
      <c r="D217" s="3" t="s">
        <v>17</v>
      </c>
      <c r="E217" s="3" t="s">
        <v>889</v>
      </c>
      <c r="F217" s="3"/>
      <c r="G217" s="3" t="s">
        <v>107</v>
      </c>
      <c r="H217" s="3"/>
      <c r="I217" s="3" t="s">
        <v>20</v>
      </c>
      <c r="J217" s="3"/>
      <c r="K217" s="3" t="s">
        <v>21</v>
      </c>
      <c r="L217" s="3" t="s">
        <v>21</v>
      </c>
      <c r="M217" s="3" t="s">
        <v>890</v>
      </c>
      <c r="N217" s="3" t="s">
        <v>891</v>
      </c>
      <c r="O217" s="3" t="s">
        <v>892</v>
      </c>
      <c r="P217" s="3" t="s">
        <v>56</v>
      </c>
      <c r="Q217" s="3"/>
      <c r="R217" s="3"/>
      <c r="S217" s="3"/>
      <c r="T217" s="3"/>
      <c r="U217" s="3"/>
      <c r="V217" s="3"/>
      <c r="W217" s="3"/>
      <c r="X217" s="3"/>
      <c r="Y217" s="3"/>
      <c r="Z217" s="3"/>
      <c r="AA217" s="3"/>
    </row>
    <row r="218" spans="1:27" ht="14.25" customHeight="1">
      <c r="A218" s="2">
        <v>46178</v>
      </c>
      <c r="B218" s="3" t="s">
        <v>25</v>
      </c>
      <c r="C218" s="3" t="s">
        <v>26</v>
      </c>
      <c r="D218" s="3" t="s">
        <v>25</v>
      </c>
      <c r="E218" s="3" t="s">
        <v>893</v>
      </c>
      <c r="F218" s="3"/>
      <c r="G218" s="3" t="s">
        <v>19</v>
      </c>
      <c r="H218" s="3"/>
      <c r="I218" s="3" t="s">
        <v>20</v>
      </c>
      <c r="J218" s="3"/>
      <c r="K218" s="3" t="s">
        <v>21</v>
      </c>
      <c r="L218" s="3" t="s">
        <v>21</v>
      </c>
      <c r="M218" s="3" t="s">
        <v>894</v>
      </c>
      <c r="N218" s="3" t="s">
        <v>895</v>
      </c>
      <c r="O218" s="3" t="s">
        <v>896</v>
      </c>
      <c r="P218" s="3" t="s">
        <v>30</v>
      </c>
      <c r="Q218" s="3"/>
      <c r="R218" s="3"/>
      <c r="S218" s="3"/>
      <c r="T218" s="3"/>
      <c r="U218" s="3"/>
      <c r="V218" s="3"/>
      <c r="W218" s="3"/>
      <c r="X218" s="3"/>
      <c r="Y218" s="3"/>
      <c r="Z218" s="3"/>
      <c r="AA218" s="3"/>
    </row>
    <row r="219" spans="1:27" ht="14.25" customHeight="1">
      <c r="A219" s="2">
        <v>46178</v>
      </c>
      <c r="B219" s="3" t="s">
        <v>15</v>
      </c>
      <c r="C219" s="3" t="s">
        <v>16</v>
      </c>
      <c r="D219" s="3" t="s">
        <v>663</v>
      </c>
      <c r="E219" s="3" t="s">
        <v>897</v>
      </c>
      <c r="F219" s="3"/>
      <c r="G219" s="3" t="s">
        <v>107</v>
      </c>
      <c r="H219" s="3"/>
      <c r="I219" s="3" t="s">
        <v>45</v>
      </c>
      <c r="J219" s="3" t="s">
        <v>604</v>
      </c>
      <c r="K219" s="3" t="s">
        <v>21</v>
      </c>
      <c r="L219" s="3" t="s">
        <v>28</v>
      </c>
      <c r="M219" s="3" t="s">
        <v>898</v>
      </c>
      <c r="N219" s="3" t="s">
        <v>899</v>
      </c>
      <c r="O219" s="3" t="s">
        <v>900</v>
      </c>
      <c r="P219" s="3" t="s">
        <v>30</v>
      </c>
      <c r="Q219" s="3"/>
      <c r="R219" s="3"/>
      <c r="S219" s="3"/>
      <c r="T219" s="3"/>
      <c r="U219" s="3"/>
      <c r="V219" s="3"/>
      <c r="W219" s="3"/>
      <c r="X219" s="3"/>
      <c r="Y219" s="3"/>
      <c r="Z219" s="3"/>
      <c r="AA219" s="3"/>
    </row>
    <row r="220" spans="1:27" ht="14.25" customHeight="1">
      <c r="A220" s="2">
        <v>46178</v>
      </c>
      <c r="B220" s="3" t="s">
        <v>81</v>
      </c>
      <c r="C220" s="3" t="s">
        <v>50</v>
      </c>
      <c r="D220" s="3" t="s">
        <v>196</v>
      </c>
      <c r="E220" s="3" t="s">
        <v>901</v>
      </c>
      <c r="F220" s="3"/>
      <c r="G220" s="3" t="s">
        <v>19</v>
      </c>
      <c r="H220" s="3"/>
      <c r="I220" s="3" t="s">
        <v>20</v>
      </c>
      <c r="J220" s="3"/>
      <c r="K220" s="3" t="s">
        <v>21</v>
      </c>
      <c r="L220" s="3" t="s">
        <v>21</v>
      </c>
      <c r="M220" s="3" t="s">
        <v>902</v>
      </c>
      <c r="N220" s="3" t="s">
        <v>903</v>
      </c>
      <c r="O220" s="3" t="s">
        <v>904</v>
      </c>
      <c r="P220" s="3"/>
      <c r="Q220" s="3"/>
      <c r="R220" s="3"/>
      <c r="S220" s="3"/>
      <c r="T220" s="3"/>
      <c r="U220" s="3"/>
      <c r="V220" s="3"/>
      <c r="W220" s="3"/>
      <c r="X220" s="3"/>
      <c r="Y220" s="3"/>
      <c r="Z220" s="3"/>
      <c r="AA220" s="3"/>
    </row>
    <row r="221" spans="1:27" ht="14.25" customHeight="1">
      <c r="A221" s="2">
        <v>46178</v>
      </c>
      <c r="B221" s="3" t="s">
        <v>15</v>
      </c>
      <c r="C221" s="3" t="s">
        <v>33</v>
      </c>
      <c r="D221" s="3" t="s">
        <v>553</v>
      </c>
      <c r="E221" s="3" t="s">
        <v>905</v>
      </c>
      <c r="F221" s="3"/>
      <c r="G221" s="3" t="s">
        <v>107</v>
      </c>
      <c r="H221" s="3"/>
      <c r="I221" s="3" t="s">
        <v>20</v>
      </c>
      <c r="J221" s="3"/>
      <c r="K221" s="3" t="s">
        <v>28</v>
      </c>
      <c r="L221" s="3" t="s">
        <v>28</v>
      </c>
      <c r="M221" s="3" t="s">
        <v>906</v>
      </c>
      <c r="N221" s="3" t="s">
        <v>907</v>
      </c>
      <c r="O221" s="3" t="s">
        <v>908</v>
      </c>
      <c r="P221" s="3" t="s">
        <v>909</v>
      </c>
      <c r="Q221" s="3"/>
      <c r="R221" s="3"/>
      <c r="S221" s="3"/>
      <c r="T221" s="3"/>
      <c r="U221" s="3"/>
      <c r="V221" s="3"/>
      <c r="W221" s="3"/>
      <c r="X221" s="3"/>
      <c r="Y221" s="3"/>
      <c r="Z221" s="3"/>
      <c r="AA221" s="3"/>
    </row>
    <row r="222" spans="1:27" ht="14.25" customHeight="1">
      <c r="A222" s="2">
        <v>46178</v>
      </c>
      <c r="B222" s="3" t="s">
        <v>15</v>
      </c>
      <c r="C222" s="3" t="s">
        <v>16</v>
      </c>
      <c r="D222" s="3" t="s">
        <v>663</v>
      </c>
      <c r="E222" s="3" t="s">
        <v>910</v>
      </c>
      <c r="F222" s="3"/>
      <c r="G222" s="3" t="s">
        <v>107</v>
      </c>
      <c r="H222" s="3"/>
      <c r="I222" s="3" t="s">
        <v>20</v>
      </c>
      <c r="J222" s="3"/>
      <c r="K222" s="3" t="s">
        <v>28</v>
      </c>
      <c r="L222" s="3" t="s">
        <v>28</v>
      </c>
      <c r="M222" s="3" t="s">
        <v>911</v>
      </c>
      <c r="N222" s="3" t="s">
        <v>912</v>
      </c>
      <c r="O222" s="3" t="s">
        <v>913</v>
      </c>
      <c r="P222" s="3" t="s">
        <v>914</v>
      </c>
      <c r="Q222" s="3"/>
      <c r="R222" s="3"/>
      <c r="S222" s="3"/>
      <c r="T222" s="3"/>
      <c r="U222" s="3"/>
      <c r="V222" s="3"/>
      <c r="W222" s="3"/>
      <c r="X222" s="3"/>
      <c r="Y222" s="3"/>
      <c r="Z222" s="3"/>
      <c r="AA222" s="3"/>
    </row>
    <row r="223" spans="1:27" ht="14.25" customHeight="1">
      <c r="A223" s="2">
        <v>46178</v>
      </c>
      <c r="B223" s="3" t="s">
        <v>81</v>
      </c>
      <c r="C223" s="3" t="s">
        <v>82</v>
      </c>
      <c r="D223" s="3" t="s">
        <v>83</v>
      </c>
      <c r="E223" s="3" t="s">
        <v>915</v>
      </c>
      <c r="F223" s="3"/>
      <c r="G223" s="3" t="s">
        <v>19</v>
      </c>
      <c r="H223" s="3"/>
      <c r="I223" s="3" t="s">
        <v>20</v>
      </c>
      <c r="J223" s="3"/>
      <c r="K223" s="3" t="s">
        <v>21</v>
      </c>
      <c r="L223" s="3" t="s">
        <v>21</v>
      </c>
      <c r="M223" s="3" t="s">
        <v>916</v>
      </c>
      <c r="N223" s="3" t="s">
        <v>917</v>
      </c>
      <c r="O223" s="3" t="s">
        <v>918</v>
      </c>
      <c r="P223" s="3"/>
      <c r="Q223" s="3"/>
      <c r="R223" s="3"/>
      <c r="S223" s="3"/>
      <c r="T223" s="3"/>
      <c r="U223" s="3"/>
      <c r="V223" s="3"/>
      <c r="W223" s="3"/>
      <c r="X223" s="3"/>
      <c r="Y223" s="3"/>
      <c r="Z223" s="3"/>
      <c r="AA223" s="3"/>
    </row>
    <row r="224" spans="1:27" ht="14.25" customHeight="1">
      <c r="A224" s="2">
        <v>46178</v>
      </c>
      <c r="B224" s="3" t="s">
        <v>81</v>
      </c>
      <c r="C224" s="3" t="s">
        <v>50</v>
      </c>
      <c r="D224" s="3" t="s">
        <v>919</v>
      </c>
      <c r="E224" s="3" t="s">
        <v>920</v>
      </c>
      <c r="F224" s="3"/>
      <c r="G224" s="3" t="s">
        <v>19</v>
      </c>
      <c r="H224" s="3"/>
      <c r="I224" s="3" t="s">
        <v>20</v>
      </c>
      <c r="J224" s="3"/>
      <c r="K224" s="3" t="s">
        <v>21</v>
      </c>
      <c r="L224" s="3" t="s">
        <v>21</v>
      </c>
      <c r="M224" s="3" t="s">
        <v>921</v>
      </c>
      <c r="N224" s="3" t="s">
        <v>922</v>
      </c>
      <c r="O224" s="3" t="s">
        <v>922</v>
      </c>
      <c r="P224" s="3"/>
      <c r="Q224" s="3"/>
      <c r="R224" s="3"/>
      <c r="S224" s="3"/>
      <c r="T224" s="3"/>
      <c r="U224" s="3"/>
      <c r="V224" s="3"/>
      <c r="W224" s="3"/>
      <c r="X224" s="3"/>
      <c r="Y224" s="3"/>
      <c r="Z224" s="3"/>
      <c r="AA224" s="3"/>
    </row>
    <row r="225" spans="1:27" ht="14.25" customHeight="1">
      <c r="A225" s="2">
        <v>46178</v>
      </c>
      <c r="B225" s="3" t="s">
        <v>81</v>
      </c>
      <c r="C225" s="3" t="s">
        <v>50</v>
      </c>
      <c r="D225" s="3" t="s">
        <v>919</v>
      </c>
      <c r="E225" s="3" t="s">
        <v>923</v>
      </c>
      <c r="F225" s="3"/>
      <c r="G225" s="3" t="s">
        <v>19</v>
      </c>
      <c r="H225" s="3"/>
      <c r="I225" s="3" t="s">
        <v>45</v>
      </c>
      <c r="J225" s="3"/>
      <c r="K225" s="3" t="s">
        <v>28</v>
      </c>
      <c r="L225" s="3" t="s">
        <v>28</v>
      </c>
      <c r="M225" s="3" t="s">
        <v>924</v>
      </c>
      <c r="N225" s="3" t="s">
        <v>925</v>
      </c>
      <c r="O225" s="3" t="s">
        <v>926</v>
      </c>
      <c r="P225" s="3" t="s">
        <v>927</v>
      </c>
      <c r="Q225" s="3"/>
      <c r="R225" s="3"/>
      <c r="S225" s="3"/>
      <c r="T225" s="3"/>
      <c r="U225" s="3"/>
      <c r="V225" s="3"/>
      <c r="W225" s="3"/>
      <c r="X225" s="3"/>
      <c r="Y225" s="3"/>
      <c r="Z225" s="3"/>
      <c r="AA225" s="3"/>
    </row>
    <row r="226" spans="1:27" ht="14.25" customHeight="1">
      <c r="A226" s="2">
        <v>46178</v>
      </c>
      <c r="B226" s="3" t="s">
        <v>150</v>
      </c>
      <c r="C226" s="3" t="s">
        <v>151</v>
      </c>
      <c r="D226" s="3" t="s">
        <v>150</v>
      </c>
      <c r="E226" s="3" t="s">
        <v>928</v>
      </c>
      <c r="F226" s="3"/>
      <c r="G226" s="3" t="s">
        <v>19</v>
      </c>
      <c r="H226" s="3"/>
      <c r="I226" s="3" t="s">
        <v>45</v>
      </c>
      <c r="J226" s="3"/>
      <c r="K226" s="3" t="s">
        <v>21</v>
      </c>
      <c r="L226" s="3" t="s">
        <v>21</v>
      </c>
      <c r="M226" s="3" t="s">
        <v>929</v>
      </c>
      <c r="N226" s="3" t="s">
        <v>48</v>
      </c>
      <c r="O226" s="3" t="s">
        <v>48</v>
      </c>
      <c r="P226" s="3" t="s">
        <v>48</v>
      </c>
      <c r="Q226" s="3"/>
      <c r="R226" s="3"/>
      <c r="S226" s="3"/>
      <c r="T226" s="3"/>
      <c r="U226" s="3"/>
      <c r="V226" s="3"/>
      <c r="W226" s="3"/>
      <c r="X226" s="3"/>
      <c r="Y226" s="3"/>
      <c r="Z226" s="3"/>
      <c r="AA226" s="3"/>
    </row>
    <row r="227" spans="1:27" ht="14.25" customHeight="1">
      <c r="A227" s="2">
        <v>46178</v>
      </c>
      <c r="B227" s="3" t="s">
        <v>15</v>
      </c>
      <c r="C227" s="3" t="s">
        <v>16</v>
      </c>
      <c r="D227" s="3" t="s">
        <v>105</v>
      </c>
      <c r="E227" s="3" t="s">
        <v>930</v>
      </c>
      <c r="F227" s="3"/>
      <c r="G227" s="3" t="s">
        <v>19</v>
      </c>
      <c r="H227" s="3"/>
      <c r="I227" s="3" t="s">
        <v>20</v>
      </c>
      <c r="J227" s="3"/>
      <c r="K227" s="3" t="s">
        <v>21</v>
      </c>
      <c r="L227" s="3" t="s">
        <v>28</v>
      </c>
      <c r="M227" s="3" t="s">
        <v>931</v>
      </c>
      <c r="N227" s="3" t="s">
        <v>932</v>
      </c>
      <c r="O227" s="3" t="s">
        <v>933</v>
      </c>
      <c r="P227" s="3" t="s">
        <v>30</v>
      </c>
      <c r="Q227" s="3"/>
      <c r="R227" s="3"/>
      <c r="S227" s="3"/>
      <c r="T227" s="3"/>
      <c r="U227" s="3"/>
      <c r="V227" s="3"/>
      <c r="W227" s="3"/>
      <c r="X227" s="3"/>
      <c r="Y227" s="3"/>
      <c r="Z227" s="3"/>
      <c r="AA227" s="3"/>
    </row>
    <row r="228" spans="1:27" ht="14.25" customHeight="1">
      <c r="A228" s="2">
        <v>46178</v>
      </c>
      <c r="B228" s="3" t="s">
        <v>15</v>
      </c>
      <c r="C228" s="3" t="s">
        <v>16</v>
      </c>
      <c r="D228" s="3" t="s">
        <v>105</v>
      </c>
      <c r="E228" s="3" t="s">
        <v>934</v>
      </c>
      <c r="F228" s="3"/>
      <c r="G228" s="3" t="s">
        <v>107</v>
      </c>
      <c r="H228" s="3"/>
      <c r="I228" s="3" t="s">
        <v>20</v>
      </c>
      <c r="J228" s="3"/>
      <c r="K228" s="3" t="s">
        <v>21</v>
      </c>
      <c r="L228" s="3" t="s">
        <v>21</v>
      </c>
      <c r="M228" s="3" t="s">
        <v>935</v>
      </c>
      <c r="N228" s="3" t="s">
        <v>724</v>
      </c>
      <c r="O228" s="3" t="s">
        <v>936</v>
      </c>
      <c r="P228" s="3" t="s">
        <v>30</v>
      </c>
      <c r="Q228" s="3"/>
      <c r="R228" s="3"/>
      <c r="S228" s="3"/>
      <c r="T228" s="3"/>
      <c r="U228" s="3"/>
      <c r="V228" s="3"/>
      <c r="W228" s="3"/>
      <c r="X228" s="3"/>
      <c r="Y228" s="3"/>
      <c r="Z228" s="3"/>
      <c r="AA228" s="3"/>
    </row>
    <row r="229" spans="1:27" ht="14.25" customHeight="1">
      <c r="A229" s="2">
        <v>46178</v>
      </c>
      <c r="B229" s="3" t="s">
        <v>150</v>
      </c>
      <c r="C229" s="3" t="s">
        <v>151</v>
      </c>
      <c r="D229" s="3" t="s">
        <v>150</v>
      </c>
      <c r="E229" s="3" t="s">
        <v>937</v>
      </c>
      <c r="F229" s="3"/>
      <c r="G229" s="3" t="s">
        <v>19</v>
      </c>
      <c r="H229" s="3"/>
      <c r="I229" s="3" t="s">
        <v>45</v>
      </c>
      <c r="J229" s="3"/>
      <c r="K229" s="3" t="s">
        <v>28</v>
      </c>
      <c r="L229" s="3" t="s">
        <v>28</v>
      </c>
      <c r="M229" s="3" t="s">
        <v>938</v>
      </c>
      <c r="N229" s="3" t="s">
        <v>939</v>
      </c>
      <c r="O229" s="3" t="s">
        <v>940</v>
      </c>
      <c r="P229" s="3" t="s">
        <v>941</v>
      </c>
      <c r="Q229" s="3"/>
      <c r="R229" s="3"/>
      <c r="S229" s="3"/>
      <c r="T229" s="3"/>
      <c r="U229" s="3"/>
      <c r="V229" s="3"/>
      <c r="W229" s="3"/>
      <c r="X229" s="3"/>
      <c r="Y229" s="3"/>
      <c r="Z229" s="3"/>
      <c r="AA229" s="3"/>
    </row>
    <row r="230" spans="1:27" ht="14.25" customHeight="1">
      <c r="A230" s="2">
        <v>46178</v>
      </c>
      <c r="B230" s="3" t="s">
        <v>81</v>
      </c>
      <c r="C230" s="3" t="s">
        <v>50</v>
      </c>
      <c r="D230" s="3" t="s">
        <v>136</v>
      </c>
      <c r="E230" s="3" t="s">
        <v>942</v>
      </c>
      <c r="F230" s="3"/>
      <c r="G230" s="3" t="s">
        <v>19</v>
      </c>
      <c r="H230" s="3"/>
      <c r="I230" s="3" t="s">
        <v>20</v>
      </c>
      <c r="J230" s="3"/>
      <c r="K230" s="3" t="s">
        <v>28</v>
      </c>
      <c r="L230" s="3" t="s">
        <v>28</v>
      </c>
      <c r="M230" s="3" t="s">
        <v>943</v>
      </c>
      <c r="N230" s="3" t="s">
        <v>944</v>
      </c>
      <c r="O230" s="3" t="s">
        <v>945</v>
      </c>
      <c r="P230" s="3"/>
      <c r="Q230" s="3"/>
      <c r="R230" s="3"/>
      <c r="S230" s="3"/>
      <c r="T230" s="3"/>
      <c r="U230" s="3"/>
      <c r="V230" s="3"/>
      <c r="W230" s="3"/>
      <c r="X230" s="3"/>
      <c r="Y230" s="3"/>
      <c r="Z230" s="3"/>
      <c r="AA230" s="3"/>
    </row>
    <row r="231" spans="1:27" ht="14.25" customHeight="1">
      <c r="A231" s="2">
        <v>46178</v>
      </c>
      <c r="B231" s="3" t="s">
        <v>81</v>
      </c>
      <c r="C231" s="3" t="s">
        <v>82</v>
      </c>
      <c r="D231" s="3" t="s">
        <v>288</v>
      </c>
      <c r="E231" s="3" t="s">
        <v>946</v>
      </c>
      <c r="F231" s="3"/>
      <c r="G231" s="3" t="s">
        <v>19</v>
      </c>
      <c r="H231" s="3"/>
      <c r="I231" s="3" t="s">
        <v>20</v>
      </c>
      <c r="J231" s="3"/>
      <c r="K231" s="3" t="s">
        <v>21</v>
      </c>
      <c r="L231" s="3" t="s">
        <v>21</v>
      </c>
      <c r="M231" s="3" t="s">
        <v>280</v>
      </c>
      <c r="N231" s="3" t="s">
        <v>947</v>
      </c>
      <c r="O231" s="3" t="s">
        <v>948</v>
      </c>
      <c r="P231" s="3" t="s">
        <v>30</v>
      </c>
      <c r="Q231" s="3"/>
      <c r="R231" s="3"/>
      <c r="S231" s="3"/>
      <c r="T231" s="3"/>
      <c r="U231" s="3"/>
      <c r="V231" s="3"/>
      <c r="W231" s="3"/>
      <c r="X231" s="3"/>
      <c r="Y231" s="3"/>
      <c r="Z231" s="3"/>
      <c r="AA231" s="3"/>
    </row>
    <row r="232" spans="1:27" ht="14.25" customHeight="1">
      <c r="A232" s="2">
        <v>46178</v>
      </c>
      <c r="B232" s="3" t="s">
        <v>25</v>
      </c>
      <c r="C232" s="3" t="s">
        <v>26</v>
      </c>
      <c r="D232" s="3" t="s">
        <v>25</v>
      </c>
      <c r="E232" s="3" t="s">
        <v>949</v>
      </c>
      <c r="F232" s="3"/>
      <c r="G232" s="3" t="s">
        <v>19</v>
      </c>
      <c r="H232" s="3"/>
      <c r="I232" s="3" t="s">
        <v>20</v>
      </c>
      <c r="J232" s="3"/>
      <c r="K232" s="3" t="s">
        <v>21</v>
      </c>
      <c r="L232" s="3" t="s">
        <v>21</v>
      </c>
      <c r="M232" s="3" t="s">
        <v>950</v>
      </c>
      <c r="N232" s="3" t="s">
        <v>92</v>
      </c>
      <c r="O232" s="3" t="s">
        <v>30</v>
      </c>
      <c r="P232" s="3" t="s">
        <v>48</v>
      </c>
      <c r="Q232" s="3"/>
      <c r="R232" s="3"/>
      <c r="S232" s="3"/>
      <c r="T232" s="3"/>
      <c r="U232" s="3"/>
      <c r="V232" s="3"/>
      <c r="W232" s="3"/>
      <c r="X232" s="3"/>
      <c r="Y232" s="3"/>
      <c r="Z232" s="3"/>
      <c r="AA232" s="3"/>
    </row>
    <row r="233" spans="1:27" ht="14.25" customHeight="1">
      <c r="A233" s="2">
        <v>46178</v>
      </c>
      <c r="B233" s="3" t="s">
        <v>15</v>
      </c>
      <c r="C233" s="3" t="s">
        <v>16</v>
      </c>
      <c r="D233" s="3" t="s">
        <v>663</v>
      </c>
      <c r="E233" s="3" t="s">
        <v>951</v>
      </c>
      <c r="F233" s="3"/>
      <c r="G233" s="3" t="s">
        <v>107</v>
      </c>
      <c r="H233" s="3"/>
      <c r="I233" s="3" t="s">
        <v>20</v>
      </c>
      <c r="J233" s="3"/>
      <c r="K233" s="3" t="s">
        <v>21</v>
      </c>
      <c r="L233" s="3" t="s">
        <v>21</v>
      </c>
      <c r="M233" s="3" t="s">
        <v>952</v>
      </c>
      <c r="N233" s="3" t="s">
        <v>953</v>
      </c>
      <c r="O233" s="3" t="s">
        <v>954</v>
      </c>
      <c r="P233" s="3" t="s">
        <v>955</v>
      </c>
      <c r="Q233" s="3"/>
      <c r="R233" s="3"/>
      <c r="S233" s="3"/>
      <c r="T233" s="3"/>
      <c r="U233" s="3"/>
      <c r="V233" s="3"/>
      <c r="W233" s="3"/>
      <c r="X233" s="3"/>
      <c r="Y233" s="3"/>
      <c r="Z233" s="3"/>
      <c r="AA233" s="3"/>
    </row>
    <row r="234" spans="1:27" ht="14.25" customHeight="1">
      <c r="A234" s="2">
        <v>46178</v>
      </c>
      <c r="B234" s="3" t="s">
        <v>25</v>
      </c>
      <c r="C234" s="3" t="s">
        <v>26</v>
      </c>
      <c r="D234" s="3" t="s">
        <v>25</v>
      </c>
      <c r="E234" s="3" t="s">
        <v>956</v>
      </c>
      <c r="F234" s="3"/>
      <c r="G234" s="3" t="s">
        <v>19</v>
      </c>
      <c r="H234" s="3"/>
      <c r="I234" s="3" t="s">
        <v>45</v>
      </c>
      <c r="J234" s="3"/>
      <c r="K234" s="3" t="s">
        <v>28</v>
      </c>
      <c r="L234" s="3" t="s">
        <v>28</v>
      </c>
      <c r="M234" s="3" t="s">
        <v>957</v>
      </c>
      <c r="N234" s="3" t="s">
        <v>958</v>
      </c>
      <c r="O234" s="3" t="s">
        <v>959</v>
      </c>
      <c r="P234" s="3"/>
      <c r="Q234" s="3"/>
      <c r="R234" s="3"/>
      <c r="S234" s="3"/>
      <c r="T234" s="3"/>
      <c r="U234" s="3"/>
      <c r="V234" s="3"/>
      <c r="W234" s="3"/>
      <c r="X234" s="3"/>
      <c r="Y234" s="3"/>
      <c r="Z234" s="3"/>
      <c r="AA234" s="3"/>
    </row>
    <row r="235" spans="1:27" ht="14.25" customHeight="1">
      <c r="A235" s="2">
        <v>46178</v>
      </c>
      <c r="B235" s="3" t="s">
        <v>960</v>
      </c>
      <c r="C235" s="3" t="s">
        <v>50</v>
      </c>
      <c r="D235" s="3" t="s">
        <v>919</v>
      </c>
      <c r="E235" s="3" t="s">
        <v>961</v>
      </c>
      <c r="F235" s="3"/>
      <c r="G235" s="3" t="s">
        <v>19</v>
      </c>
      <c r="H235" s="3"/>
      <c r="I235" s="3" t="s">
        <v>20</v>
      </c>
      <c r="J235" s="3"/>
      <c r="K235" s="3" t="s">
        <v>21</v>
      </c>
      <c r="L235" s="3" t="s">
        <v>28</v>
      </c>
      <c r="M235" s="3" t="s">
        <v>962</v>
      </c>
      <c r="N235" s="3" t="s">
        <v>963</v>
      </c>
      <c r="O235" s="3" t="s">
        <v>964</v>
      </c>
      <c r="P235" s="3" t="s">
        <v>123</v>
      </c>
      <c r="Q235" s="3"/>
      <c r="R235" s="3"/>
      <c r="S235" s="3"/>
      <c r="T235" s="3"/>
      <c r="U235" s="3"/>
      <c r="V235" s="3"/>
      <c r="W235" s="3"/>
      <c r="X235" s="3"/>
      <c r="Y235" s="3"/>
      <c r="Z235" s="3"/>
      <c r="AA235" s="3"/>
    </row>
    <row r="236" spans="1:27" ht="14.25" customHeight="1">
      <c r="A236" s="2">
        <v>46178</v>
      </c>
      <c r="B236" s="3" t="s">
        <v>25</v>
      </c>
      <c r="C236" s="3" t="s">
        <v>26</v>
      </c>
      <c r="D236" s="3" t="s">
        <v>25</v>
      </c>
      <c r="E236" s="3" t="s">
        <v>965</v>
      </c>
      <c r="F236" s="3"/>
      <c r="G236" s="3" t="s">
        <v>19</v>
      </c>
      <c r="H236" s="3"/>
      <c r="I236" s="3" t="s">
        <v>20</v>
      </c>
      <c r="J236" s="3"/>
      <c r="K236" s="3" t="s">
        <v>21</v>
      </c>
      <c r="L236" s="3" t="s">
        <v>28</v>
      </c>
      <c r="M236" s="3" t="s">
        <v>966</v>
      </c>
      <c r="N236" s="3" t="s">
        <v>967</v>
      </c>
      <c r="O236" s="3" t="s">
        <v>30</v>
      </c>
      <c r="P236" s="3" t="s">
        <v>30</v>
      </c>
      <c r="Q236" s="3"/>
      <c r="R236" s="3"/>
      <c r="S236" s="3"/>
      <c r="T236" s="3"/>
      <c r="U236" s="3"/>
      <c r="V236" s="3"/>
      <c r="W236" s="3"/>
      <c r="X236" s="3"/>
      <c r="Y236" s="3"/>
      <c r="Z236" s="3"/>
      <c r="AA236" s="3"/>
    </row>
    <row r="237" spans="1:27" ht="14.25" customHeight="1">
      <c r="A237" s="2">
        <v>46178</v>
      </c>
      <c r="B237" s="3" t="s">
        <v>25</v>
      </c>
      <c r="C237" s="3" t="s">
        <v>26</v>
      </c>
      <c r="D237" s="3" t="s">
        <v>25</v>
      </c>
      <c r="E237" s="3" t="s">
        <v>968</v>
      </c>
      <c r="F237" s="3"/>
      <c r="G237" s="3" t="s">
        <v>19</v>
      </c>
      <c r="H237" s="3"/>
      <c r="I237" s="3" t="s">
        <v>45</v>
      </c>
      <c r="J237" s="3"/>
      <c r="K237" s="3" t="s">
        <v>21</v>
      </c>
      <c r="L237" s="3" t="s">
        <v>28</v>
      </c>
      <c r="M237" s="3" t="s">
        <v>969</v>
      </c>
      <c r="N237" s="3" t="s">
        <v>970</v>
      </c>
      <c r="O237" s="3" t="s">
        <v>30</v>
      </c>
      <c r="P237" s="3" t="s">
        <v>30</v>
      </c>
      <c r="Q237" s="3"/>
      <c r="R237" s="3"/>
      <c r="S237" s="3"/>
      <c r="T237" s="3"/>
      <c r="U237" s="3"/>
      <c r="V237" s="3"/>
      <c r="W237" s="3"/>
      <c r="X237" s="3"/>
      <c r="Y237" s="3"/>
      <c r="Z237" s="3"/>
      <c r="AA237" s="3"/>
    </row>
    <row r="238" spans="1:27" ht="14.25" customHeight="1">
      <c r="A238" s="2">
        <v>46178</v>
      </c>
      <c r="B238" s="3" t="s">
        <v>150</v>
      </c>
      <c r="C238" s="3" t="s">
        <v>151</v>
      </c>
      <c r="D238" s="3" t="s">
        <v>150</v>
      </c>
      <c r="E238" s="3" t="s">
        <v>971</v>
      </c>
      <c r="F238" s="3"/>
      <c r="G238" s="3" t="s">
        <v>19</v>
      </c>
      <c r="H238" s="3"/>
      <c r="I238" s="3" t="s">
        <v>45</v>
      </c>
      <c r="J238" s="3" t="s">
        <v>21</v>
      </c>
      <c r="K238" s="3" t="s">
        <v>21</v>
      </c>
      <c r="L238" s="3" t="s">
        <v>21</v>
      </c>
      <c r="M238" s="3" t="s">
        <v>972</v>
      </c>
      <c r="N238" s="3" t="s">
        <v>973</v>
      </c>
      <c r="O238" s="3" t="s">
        <v>974</v>
      </c>
      <c r="P238" s="3" t="s">
        <v>48</v>
      </c>
      <c r="Q238" s="3"/>
      <c r="R238" s="3"/>
      <c r="S238" s="3"/>
      <c r="T238" s="3"/>
      <c r="U238" s="3"/>
      <c r="V238" s="3"/>
      <c r="W238" s="3"/>
      <c r="X238" s="3"/>
      <c r="Y238" s="3"/>
      <c r="Z238" s="3"/>
      <c r="AA238" s="3"/>
    </row>
    <row r="239" spans="1:27" ht="14.25" customHeight="1">
      <c r="A239" s="2">
        <v>46178</v>
      </c>
      <c r="B239" s="3" t="s">
        <v>150</v>
      </c>
      <c r="C239" s="3" t="s">
        <v>151</v>
      </c>
      <c r="D239" s="3" t="s">
        <v>150</v>
      </c>
      <c r="E239" s="3" t="s">
        <v>975</v>
      </c>
      <c r="F239" s="3"/>
      <c r="G239" s="3" t="s">
        <v>19</v>
      </c>
      <c r="H239" s="3"/>
      <c r="I239" s="3" t="s">
        <v>45</v>
      </c>
      <c r="J239" s="3"/>
      <c r="K239" s="3" t="s">
        <v>28</v>
      </c>
      <c r="L239" s="3" t="s">
        <v>28</v>
      </c>
      <c r="M239" s="3" t="s">
        <v>976</v>
      </c>
      <c r="N239" s="3" t="s">
        <v>977</v>
      </c>
      <c r="O239" s="3" t="s">
        <v>30</v>
      </c>
      <c r="P239" s="3"/>
      <c r="Q239" s="3"/>
      <c r="R239" s="3"/>
      <c r="S239" s="3"/>
      <c r="T239" s="3"/>
      <c r="U239" s="3"/>
      <c r="V239" s="3"/>
      <c r="W239" s="3"/>
      <c r="X239" s="3"/>
      <c r="Y239" s="3"/>
      <c r="Z239" s="3"/>
      <c r="AA239" s="3"/>
    </row>
    <row r="240" spans="1:27" ht="14.25" customHeight="1">
      <c r="A240" s="2">
        <v>46178</v>
      </c>
      <c r="B240" s="3" t="s">
        <v>978</v>
      </c>
      <c r="C240" s="3" t="s">
        <v>979</v>
      </c>
      <c r="D240" s="3" t="s">
        <v>978</v>
      </c>
      <c r="E240" s="3" t="s">
        <v>980</v>
      </c>
      <c r="F240" s="3"/>
      <c r="G240" s="3" t="s">
        <v>981</v>
      </c>
      <c r="H240" s="3"/>
      <c r="I240" s="3" t="s">
        <v>20</v>
      </c>
      <c r="J240" s="3"/>
      <c r="K240" s="3" t="s">
        <v>21</v>
      </c>
      <c r="L240" s="3" t="s">
        <v>21</v>
      </c>
      <c r="M240" s="3" t="s">
        <v>982</v>
      </c>
      <c r="N240" s="3" t="s">
        <v>983</v>
      </c>
      <c r="O240" s="3" t="s">
        <v>984</v>
      </c>
      <c r="P240" s="3" t="s">
        <v>985</v>
      </c>
      <c r="Q240" s="3"/>
      <c r="R240" s="3"/>
      <c r="S240" s="3"/>
      <c r="T240" s="3"/>
      <c r="U240" s="3"/>
      <c r="V240" s="3"/>
      <c r="W240" s="3"/>
      <c r="X240" s="3"/>
      <c r="Y240" s="3"/>
      <c r="Z240" s="3"/>
      <c r="AA240" s="3"/>
    </row>
    <row r="241" spans="1:27" ht="14.25" customHeight="1">
      <c r="A241" s="2">
        <v>46178</v>
      </c>
      <c r="B241" s="3" t="s">
        <v>81</v>
      </c>
      <c r="C241" s="3" t="s">
        <v>50</v>
      </c>
      <c r="D241" s="3" t="s">
        <v>919</v>
      </c>
      <c r="E241" s="3" t="s">
        <v>986</v>
      </c>
      <c r="F241" s="3"/>
      <c r="G241" s="3" t="s">
        <v>19</v>
      </c>
      <c r="H241" s="3"/>
      <c r="I241" s="3" t="s">
        <v>45</v>
      </c>
      <c r="J241" s="3"/>
      <c r="K241" s="3" t="s">
        <v>28</v>
      </c>
      <c r="L241" s="3" t="s">
        <v>28</v>
      </c>
      <c r="M241" s="3" t="s">
        <v>987</v>
      </c>
      <c r="N241" s="3" t="s">
        <v>988</v>
      </c>
      <c r="O241" s="3" t="s">
        <v>989</v>
      </c>
      <c r="P241" s="3" t="s">
        <v>990</v>
      </c>
      <c r="Q241" s="3"/>
      <c r="R241" s="3"/>
      <c r="S241" s="3"/>
      <c r="T241" s="3"/>
      <c r="U241" s="3"/>
      <c r="V241" s="3"/>
      <c r="W241" s="3"/>
      <c r="X241" s="3"/>
      <c r="Y241" s="3"/>
      <c r="Z241" s="3"/>
      <c r="AA241" s="3"/>
    </row>
    <row r="242" spans="1:27" ht="14.25" customHeight="1">
      <c r="A242" s="2">
        <v>46178</v>
      </c>
      <c r="B242" s="3" t="s">
        <v>25</v>
      </c>
      <c r="C242" s="3" t="s">
        <v>26</v>
      </c>
      <c r="D242" s="3" t="s">
        <v>25</v>
      </c>
      <c r="E242" s="3" t="s">
        <v>991</v>
      </c>
      <c r="F242" s="3"/>
      <c r="G242" s="3" t="s">
        <v>19</v>
      </c>
      <c r="H242" s="3"/>
      <c r="I242" s="3" t="s">
        <v>20</v>
      </c>
      <c r="J242" s="3"/>
      <c r="K242" s="3" t="s">
        <v>28</v>
      </c>
      <c r="L242" s="3" t="s">
        <v>28</v>
      </c>
      <c r="M242" s="3" t="s">
        <v>992</v>
      </c>
      <c r="N242" s="3" t="s">
        <v>281</v>
      </c>
      <c r="O242" s="3" t="s">
        <v>281</v>
      </c>
      <c r="P242" s="3" t="s">
        <v>30</v>
      </c>
      <c r="Q242" s="3"/>
      <c r="R242" s="3"/>
      <c r="S242" s="3"/>
      <c r="T242" s="3"/>
      <c r="U242" s="3"/>
      <c r="V242" s="3"/>
      <c r="W242" s="3"/>
      <c r="X242" s="3"/>
      <c r="Y242" s="3"/>
      <c r="Z242" s="3"/>
      <c r="AA242" s="3"/>
    </row>
    <row r="243" spans="1:27" ht="14.25" customHeight="1">
      <c r="A243" s="2">
        <v>46178</v>
      </c>
      <c r="B243" s="3" t="s">
        <v>81</v>
      </c>
      <c r="C243" s="3" t="s">
        <v>50</v>
      </c>
      <c r="D243" s="3" t="s">
        <v>919</v>
      </c>
      <c r="E243" s="3" t="s">
        <v>993</v>
      </c>
      <c r="F243" s="3"/>
      <c r="G243" s="3" t="s">
        <v>19</v>
      </c>
      <c r="H243" s="3"/>
      <c r="I243" s="3" t="s">
        <v>20</v>
      </c>
      <c r="J243" s="3"/>
      <c r="K243" s="3" t="s">
        <v>28</v>
      </c>
      <c r="L243" s="3" t="s">
        <v>28</v>
      </c>
      <c r="M243" s="3" t="s">
        <v>994</v>
      </c>
      <c r="N243" s="3" t="s">
        <v>995</v>
      </c>
      <c r="O243" s="3" t="s">
        <v>996</v>
      </c>
      <c r="P243" s="3"/>
      <c r="Q243" s="3"/>
      <c r="R243" s="3"/>
      <c r="S243" s="3"/>
      <c r="T243" s="3"/>
      <c r="U243" s="3"/>
      <c r="V243" s="3"/>
      <c r="W243" s="3"/>
      <c r="X243" s="3"/>
      <c r="Y243" s="3"/>
      <c r="Z243" s="3"/>
      <c r="AA243" s="3"/>
    </row>
    <row r="244" spans="1:27" ht="14.25" customHeight="1">
      <c r="A244" s="2">
        <v>46178</v>
      </c>
      <c r="B244" s="3" t="s">
        <v>150</v>
      </c>
      <c r="C244" s="3" t="s">
        <v>151</v>
      </c>
      <c r="D244" s="3" t="s">
        <v>150</v>
      </c>
      <c r="E244" s="3" t="s">
        <v>997</v>
      </c>
      <c r="F244" s="3"/>
      <c r="G244" s="3" t="s">
        <v>19</v>
      </c>
      <c r="H244" s="3"/>
      <c r="I244" s="3" t="s">
        <v>20</v>
      </c>
      <c r="J244" s="3"/>
      <c r="K244" s="3" t="s">
        <v>21</v>
      </c>
      <c r="L244" s="3" t="s">
        <v>21</v>
      </c>
      <c r="M244" s="3" t="s">
        <v>998</v>
      </c>
      <c r="N244" s="3" t="s">
        <v>999</v>
      </c>
      <c r="O244" s="3" t="s">
        <v>1000</v>
      </c>
      <c r="P244" s="3" t="s">
        <v>1001</v>
      </c>
      <c r="Q244" s="3"/>
      <c r="R244" s="3"/>
      <c r="S244" s="3"/>
      <c r="T244" s="3"/>
      <c r="U244" s="3"/>
      <c r="V244" s="3"/>
      <c r="W244" s="3"/>
      <c r="X244" s="3"/>
      <c r="Y244" s="3"/>
      <c r="Z244" s="3"/>
      <c r="AA244" s="3"/>
    </row>
    <row r="245" spans="1:27" ht="14.25" customHeight="1">
      <c r="A245" s="2">
        <v>46178</v>
      </c>
      <c r="B245" s="3" t="s">
        <v>81</v>
      </c>
      <c r="C245" s="3" t="s">
        <v>50</v>
      </c>
      <c r="D245" s="3" t="s">
        <v>919</v>
      </c>
      <c r="E245" s="3" t="s">
        <v>1002</v>
      </c>
      <c r="F245" s="3"/>
      <c r="G245" s="3" t="s">
        <v>19</v>
      </c>
      <c r="H245" s="3"/>
      <c r="I245" s="3" t="s">
        <v>20</v>
      </c>
      <c r="J245" s="3"/>
      <c r="K245" s="3" t="s">
        <v>186</v>
      </c>
      <c r="L245" s="3" t="s">
        <v>186</v>
      </c>
      <c r="M245" s="3" t="s">
        <v>1003</v>
      </c>
      <c r="N245" s="3" t="s">
        <v>1004</v>
      </c>
      <c r="O245" s="3" t="s">
        <v>1005</v>
      </c>
      <c r="P245" s="3"/>
      <c r="Q245" s="3"/>
      <c r="R245" s="3"/>
      <c r="S245" s="3"/>
      <c r="T245" s="3"/>
      <c r="U245" s="3"/>
      <c r="V245" s="3"/>
      <c r="W245" s="3"/>
      <c r="X245" s="3"/>
      <c r="Y245" s="3"/>
      <c r="Z245" s="3"/>
      <c r="AA245" s="3"/>
    </row>
    <row r="246" spans="1:27" ht="14.25" customHeight="1">
      <c r="A246" s="2">
        <v>46178</v>
      </c>
      <c r="B246" s="3" t="s">
        <v>15</v>
      </c>
      <c r="C246" s="3" t="s">
        <v>16</v>
      </c>
      <c r="D246" s="3" t="s">
        <v>663</v>
      </c>
      <c r="E246" s="3" t="s">
        <v>1006</v>
      </c>
      <c r="F246" s="3"/>
      <c r="G246" s="3" t="s">
        <v>107</v>
      </c>
      <c r="H246" s="3"/>
      <c r="I246" s="3" t="s">
        <v>20</v>
      </c>
      <c r="J246" s="3"/>
      <c r="K246" s="3" t="s">
        <v>21</v>
      </c>
      <c r="L246" s="3" t="s">
        <v>28</v>
      </c>
      <c r="M246" s="3" t="s">
        <v>1007</v>
      </c>
      <c r="N246" s="3" t="s">
        <v>1008</v>
      </c>
      <c r="O246" s="3" t="s">
        <v>1009</v>
      </c>
      <c r="P246" s="3"/>
      <c r="Q246" s="3"/>
      <c r="R246" s="3"/>
      <c r="S246" s="3"/>
      <c r="T246" s="3"/>
      <c r="U246" s="3"/>
      <c r="V246" s="3"/>
      <c r="W246" s="3"/>
      <c r="X246" s="3"/>
      <c r="Y246" s="3"/>
      <c r="Z246" s="3"/>
      <c r="AA246" s="3"/>
    </row>
    <row r="247" spans="1:27" ht="14.25" customHeight="1">
      <c r="A247" s="2">
        <v>46178</v>
      </c>
      <c r="B247" s="3" t="s">
        <v>960</v>
      </c>
      <c r="C247" s="3" t="s">
        <v>50</v>
      </c>
      <c r="D247" s="3" t="s">
        <v>919</v>
      </c>
      <c r="E247" s="3" t="s">
        <v>1010</v>
      </c>
      <c r="F247" s="3"/>
      <c r="G247" s="3" t="s">
        <v>19</v>
      </c>
      <c r="H247" s="3"/>
      <c r="I247" s="3" t="s">
        <v>20</v>
      </c>
      <c r="J247" s="3"/>
      <c r="K247" s="3" t="s">
        <v>21</v>
      </c>
      <c r="L247" s="3" t="s">
        <v>21</v>
      </c>
      <c r="M247" s="3" t="s">
        <v>1011</v>
      </c>
      <c r="N247" s="3" t="s">
        <v>1012</v>
      </c>
      <c r="O247" s="3" t="s">
        <v>1013</v>
      </c>
      <c r="P247" s="3"/>
      <c r="Q247" s="3"/>
      <c r="R247" s="3"/>
      <c r="S247" s="3"/>
      <c r="T247" s="3"/>
      <c r="U247" s="3"/>
      <c r="V247" s="3"/>
      <c r="W247" s="3"/>
      <c r="X247" s="3"/>
      <c r="Y247" s="3"/>
      <c r="Z247" s="3"/>
      <c r="AA247" s="3"/>
    </row>
    <row r="248" spans="1:27" ht="14.25" customHeight="1">
      <c r="A248" s="2">
        <v>46178</v>
      </c>
      <c r="B248" s="3" t="s">
        <v>81</v>
      </c>
      <c r="C248" s="3" t="s">
        <v>50</v>
      </c>
      <c r="D248" s="3" t="s">
        <v>919</v>
      </c>
      <c r="E248" s="3" t="s">
        <v>993</v>
      </c>
      <c r="F248" s="3"/>
      <c r="G248" s="3" t="s">
        <v>19</v>
      </c>
      <c r="H248" s="3"/>
      <c r="I248" s="3" t="s">
        <v>20</v>
      </c>
      <c r="J248" s="3"/>
      <c r="K248" s="3" t="s">
        <v>28</v>
      </c>
      <c r="L248" s="3" t="s">
        <v>28</v>
      </c>
      <c r="M248" s="3" t="s">
        <v>1014</v>
      </c>
      <c r="N248" s="3" t="s">
        <v>1015</v>
      </c>
      <c r="O248" s="3" t="s">
        <v>1016</v>
      </c>
      <c r="P248" s="3" t="s">
        <v>1017</v>
      </c>
      <c r="Q248" s="3"/>
      <c r="R248" s="3"/>
      <c r="S248" s="3"/>
      <c r="T248" s="3"/>
      <c r="U248" s="3"/>
      <c r="V248" s="3"/>
      <c r="W248" s="3"/>
      <c r="X248" s="3"/>
      <c r="Y248" s="3"/>
      <c r="Z248" s="3"/>
      <c r="AA248" s="3"/>
    </row>
    <row r="249" spans="1:27" ht="14.25" customHeight="1">
      <c r="A249" s="2">
        <v>46178</v>
      </c>
      <c r="B249" s="3" t="s">
        <v>81</v>
      </c>
      <c r="C249" s="3" t="s">
        <v>50</v>
      </c>
      <c r="D249" s="3" t="s">
        <v>51</v>
      </c>
      <c r="E249" s="3" t="s">
        <v>1018</v>
      </c>
      <c r="F249" s="3"/>
      <c r="G249" s="3" t="s">
        <v>19</v>
      </c>
      <c r="H249" s="3"/>
      <c r="I249" s="3" t="s">
        <v>45</v>
      </c>
      <c r="J249" s="3"/>
      <c r="K249" s="3" t="s">
        <v>21</v>
      </c>
      <c r="L249" s="3" t="s">
        <v>21</v>
      </c>
      <c r="M249" s="3" t="s">
        <v>1019</v>
      </c>
      <c r="N249" s="3" t="s">
        <v>1020</v>
      </c>
      <c r="O249" s="3" t="s">
        <v>1021</v>
      </c>
      <c r="P249" s="3" t="s">
        <v>30</v>
      </c>
      <c r="Q249" s="3"/>
      <c r="R249" s="3"/>
      <c r="S249" s="3"/>
      <c r="T249" s="3"/>
      <c r="U249" s="3"/>
      <c r="V249" s="3"/>
      <c r="W249" s="3"/>
      <c r="X249" s="3"/>
      <c r="Y249" s="3"/>
      <c r="Z249" s="3"/>
      <c r="AA249" s="3"/>
    </row>
    <row r="250" spans="1:27" ht="14.25" customHeight="1">
      <c r="A250" s="2">
        <v>46178</v>
      </c>
      <c r="B250" s="3" t="s">
        <v>978</v>
      </c>
      <c r="C250" s="3" t="s">
        <v>979</v>
      </c>
      <c r="D250" s="3" t="s">
        <v>978</v>
      </c>
      <c r="E250" s="3" t="s">
        <v>980</v>
      </c>
      <c r="F250" s="3"/>
      <c r="G250" s="3" t="s">
        <v>981</v>
      </c>
      <c r="H250" s="3"/>
      <c r="I250" s="3" t="s">
        <v>20</v>
      </c>
      <c r="J250" s="3"/>
      <c r="K250" s="3" t="s">
        <v>21</v>
      </c>
      <c r="L250" s="3" t="s">
        <v>21</v>
      </c>
      <c r="M250" s="3" t="s">
        <v>1022</v>
      </c>
      <c r="N250" s="3" t="s">
        <v>1023</v>
      </c>
      <c r="O250" s="3" t="s">
        <v>1024</v>
      </c>
      <c r="P250" s="3" t="s">
        <v>1025</v>
      </c>
      <c r="Q250" s="3"/>
      <c r="R250" s="3"/>
      <c r="S250" s="3"/>
      <c r="T250" s="3"/>
      <c r="U250" s="3"/>
      <c r="V250" s="3"/>
      <c r="W250" s="3"/>
      <c r="X250" s="3"/>
      <c r="Y250" s="3"/>
      <c r="Z250" s="3"/>
      <c r="AA250" s="3"/>
    </row>
    <row r="251" spans="1:27" ht="14.25" customHeight="1">
      <c r="A251" s="2">
        <v>46178</v>
      </c>
      <c r="B251" s="3" t="s">
        <v>25</v>
      </c>
      <c r="C251" s="3" t="s">
        <v>26</v>
      </c>
      <c r="D251" s="3" t="s">
        <v>25</v>
      </c>
      <c r="E251" s="3" t="s">
        <v>1026</v>
      </c>
      <c r="F251" s="3"/>
      <c r="G251" s="3" t="s">
        <v>19</v>
      </c>
      <c r="H251" s="3"/>
      <c r="I251" s="3" t="s">
        <v>45</v>
      </c>
      <c r="J251" s="3"/>
      <c r="K251" s="3" t="s">
        <v>21</v>
      </c>
      <c r="L251" s="3" t="s">
        <v>28</v>
      </c>
      <c r="M251" s="3" t="s">
        <v>1027</v>
      </c>
      <c r="N251" s="3" t="s">
        <v>48</v>
      </c>
      <c r="O251" s="3" t="s">
        <v>48</v>
      </c>
      <c r="P251" s="3" t="s">
        <v>48</v>
      </c>
      <c r="Q251" s="3"/>
      <c r="R251" s="3"/>
      <c r="S251" s="3"/>
      <c r="T251" s="3"/>
      <c r="U251" s="3"/>
      <c r="V251" s="3"/>
      <c r="W251" s="3"/>
      <c r="X251" s="3"/>
      <c r="Y251" s="3"/>
      <c r="Z251" s="3"/>
      <c r="AA251" s="3"/>
    </row>
    <row r="252" spans="1:27" ht="14.25" customHeight="1">
      <c r="A252" s="2">
        <v>46178</v>
      </c>
      <c r="B252" s="3" t="s">
        <v>15</v>
      </c>
      <c r="C252" s="3" t="s">
        <v>16</v>
      </c>
      <c r="D252" s="3" t="s">
        <v>17</v>
      </c>
      <c r="E252" s="3" t="s">
        <v>1028</v>
      </c>
      <c r="F252" s="3"/>
      <c r="G252" s="3" t="s">
        <v>19</v>
      </c>
      <c r="H252" s="3"/>
      <c r="I252" s="3" t="s">
        <v>20</v>
      </c>
      <c r="J252" s="3"/>
      <c r="K252" s="3" t="s">
        <v>28</v>
      </c>
      <c r="L252" s="3" t="s">
        <v>28</v>
      </c>
      <c r="M252" s="3" t="s">
        <v>1029</v>
      </c>
      <c r="N252" s="3" t="s">
        <v>163</v>
      </c>
      <c r="O252" s="3" t="s">
        <v>100</v>
      </c>
      <c r="P252" s="3"/>
      <c r="Q252" s="3"/>
      <c r="R252" s="3"/>
      <c r="S252" s="3"/>
      <c r="T252" s="3"/>
      <c r="U252" s="3"/>
      <c r="V252" s="3"/>
      <c r="W252" s="3"/>
      <c r="X252" s="3"/>
      <c r="Y252" s="3"/>
      <c r="Z252" s="3"/>
      <c r="AA252" s="3"/>
    </row>
    <row r="253" spans="1:27" ht="14.25" customHeight="1">
      <c r="A253" s="2">
        <v>46178</v>
      </c>
      <c r="B253" s="3" t="s">
        <v>1030</v>
      </c>
      <c r="C253" s="3" t="s">
        <v>1031</v>
      </c>
      <c r="D253" s="3" t="s">
        <v>1032</v>
      </c>
      <c r="E253" s="3" t="s">
        <v>1033</v>
      </c>
      <c r="F253" s="3"/>
      <c r="G253" s="3" t="s">
        <v>1034</v>
      </c>
      <c r="H253" s="3"/>
      <c r="I253" s="3" t="s">
        <v>20</v>
      </c>
      <c r="J253" s="3"/>
      <c r="K253" s="3" t="s">
        <v>21</v>
      </c>
      <c r="L253" s="3" t="s">
        <v>21</v>
      </c>
      <c r="M253" s="3" t="s">
        <v>1035</v>
      </c>
      <c r="N253" s="3" t="s">
        <v>1036</v>
      </c>
      <c r="O253" s="3" t="s">
        <v>1037</v>
      </c>
      <c r="P253" s="3" t="s">
        <v>1038</v>
      </c>
      <c r="Q253" s="3"/>
      <c r="R253" s="3"/>
      <c r="S253" s="3"/>
      <c r="T253" s="3"/>
      <c r="U253" s="3"/>
      <c r="V253" s="3"/>
      <c r="W253" s="3"/>
      <c r="X253" s="3"/>
      <c r="Y253" s="3"/>
      <c r="Z253" s="3"/>
      <c r="AA253" s="3"/>
    </row>
    <row r="254" spans="1:27" ht="14.25" customHeight="1">
      <c r="A254" s="2">
        <v>46178</v>
      </c>
      <c r="B254" s="3" t="s">
        <v>1030</v>
      </c>
      <c r="C254" s="3" t="s">
        <v>1031</v>
      </c>
      <c r="D254" s="3" t="s">
        <v>1032</v>
      </c>
      <c r="E254" s="3" t="s">
        <v>1039</v>
      </c>
      <c r="F254" s="3"/>
      <c r="G254" s="3" t="s">
        <v>1034</v>
      </c>
      <c r="H254" s="3"/>
      <c r="I254" s="3" t="s">
        <v>20</v>
      </c>
      <c r="J254" s="3"/>
      <c r="K254" s="3" t="s">
        <v>21</v>
      </c>
      <c r="L254" s="3" t="s">
        <v>21</v>
      </c>
      <c r="M254" s="3" t="s">
        <v>1040</v>
      </c>
      <c r="N254" s="3" t="s">
        <v>1041</v>
      </c>
      <c r="O254" s="3" t="s">
        <v>1042</v>
      </c>
      <c r="P254" s="3" t="s">
        <v>1043</v>
      </c>
      <c r="Q254" s="3"/>
      <c r="R254" s="3"/>
      <c r="S254" s="3"/>
      <c r="T254" s="3"/>
      <c r="U254" s="3"/>
      <c r="V254" s="3"/>
      <c r="W254" s="3"/>
      <c r="X254" s="3"/>
      <c r="Y254" s="3"/>
      <c r="Z254" s="3"/>
      <c r="AA254" s="3"/>
    </row>
    <row r="255" spans="1:27" ht="14.25" customHeight="1">
      <c r="A255" s="2">
        <v>46178</v>
      </c>
      <c r="B255" s="3" t="s">
        <v>150</v>
      </c>
      <c r="C255" s="3" t="s">
        <v>151</v>
      </c>
      <c r="D255" s="3" t="s">
        <v>150</v>
      </c>
      <c r="E255" s="3" t="s">
        <v>1044</v>
      </c>
      <c r="F255" s="3"/>
      <c r="G255" s="3" t="s">
        <v>19</v>
      </c>
      <c r="H255" s="3"/>
      <c r="I255" s="3" t="s">
        <v>45</v>
      </c>
      <c r="J255" s="3"/>
      <c r="K255" s="3" t="s">
        <v>28</v>
      </c>
      <c r="L255" s="3" t="s">
        <v>28</v>
      </c>
      <c r="M255" s="3" t="s">
        <v>1045</v>
      </c>
      <c r="N255" s="3" t="s">
        <v>1046</v>
      </c>
      <c r="O255" s="3" t="s">
        <v>48</v>
      </c>
      <c r="P255" s="3" t="s">
        <v>1047</v>
      </c>
      <c r="Q255" s="3"/>
      <c r="R255" s="3"/>
      <c r="S255" s="3"/>
      <c r="T255" s="3"/>
      <c r="U255" s="3"/>
      <c r="V255" s="3"/>
      <c r="W255" s="3"/>
      <c r="X255" s="3"/>
      <c r="Y255" s="3"/>
      <c r="Z255" s="3"/>
      <c r="AA255" s="3"/>
    </row>
    <row r="256" spans="1:27" ht="14.25" customHeight="1">
      <c r="A256" s="2">
        <v>46178</v>
      </c>
      <c r="B256" s="3" t="s">
        <v>81</v>
      </c>
      <c r="C256" s="3" t="s">
        <v>82</v>
      </c>
      <c r="D256" s="3" t="s">
        <v>288</v>
      </c>
      <c r="E256" s="3" t="s">
        <v>1048</v>
      </c>
      <c r="F256" s="3"/>
      <c r="G256" s="3" t="s">
        <v>19</v>
      </c>
      <c r="H256" s="3"/>
      <c r="I256" s="3" t="s">
        <v>20</v>
      </c>
      <c r="J256" s="3"/>
      <c r="K256" s="3" t="s">
        <v>21</v>
      </c>
      <c r="L256" s="3" t="s">
        <v>21</v>
      </c>
      <c r="M256" s="3" t="s">
        <v>1049</v>
      </c>
      <c r="N256" s="3" t="s">
        <v>1050</v>
      </c>
      <c r="O256" s="3" t="s">
        <v>1051</v>
      </c>
      <c r="P256" s="3"/>
      <c r="Q256" s="3"/>
      <c r="R256" s="3"/>
      <c r="S256" s="3"/>
      <c r="T256" s="3"/>
      <c r="U256" s="3"/>
      <c r="V256" s="3"/>
      <c r="W256" s="3"/>
      <c r="X256" s="3"/>
      <c r="Y256" s="3"/>
      <c r="Z256" s="3"/>
      <c r="AA256" s="3"/>
    </row>
    <row r="257" spans="1:27" ht="14.25" customHeight="1">
      <c r="A257" s="2">
        <v>46178</v>
      </c>
      <c r="B257" s="3" t="s">
        <v>15</v>
      </c>
      <c r="C257" s="3" t="s">
        <v>16</v>
      </c>
      <c r="D257" s="3" t="s">
        <v>177</v>
      </c>
      <c r="E257" s="3" t="s">
        <v>1052</v>
      </c>
      <c r="F257" s="3"/>
      <c r="G257" s="3" t="s">
        <v>19</v>
      </c>
      <c r="H257" s="3"/>
      <c r="I257" s="3" t="s">
        <v>20</v>
      </c>
      <c r="J257" s="3"/>
      <c r="K257" s="3" t="s">
        <v>21</v>
      </c>
      <c r="L257" s="3" t="s">
        <v>186</v>
      </c>
      <c r="M257" s="3" t="s">
        <v>1053</v>
      </c>
      <c r="N257" s="3" t="s">
        <v>1054</v>
      </c>
      <c r="O257" s="3" t="s">
        <v>1055</v>
      </c>
      <c r="P257" s="3" t="s">
        <v>1056</v>
      </c>
      <c r="Q257" s="3"/>
      <c r="R257" s="3"/>
      <c r="S257" s="3"/>
      <c r="T257" s="3"/>
      <c r="U257" s="3"/>
      <c r="V257" s="3"/>
      <c r="W257" s="3"/>
      <c r="X257" s="3"/>
      <c r="Y257" s="3"/>
      <c r="Z257" s="3"/>
      <c r="AA257" s="3"/>
    </row>
    <row r="258" spans="1:27" ht="14.25" customHeight="1">
      <c r="A258" s="2">
        <v>46178</v>
      </c>
      <c r="B258" s="3" t="s">
        <v>25</v>
      </c>
      <c r="C258" s="3" t="s">
        <v>26</v>
      </c>
      <c r="D258" s="3" t="s">
        <v>25</v>
      </c>
      <c r="E258" s="3" t="s">
        <v>1057</v>
      </c>
      <c r="F258" s="3"/>
      <c r="G258" s="3" t="s">
        <v>19</v>
      </c>
      <c r="H258" s="3"/>
      <c r="I258" s="3" t="s">
        <v>20</v>
      </c>
      <c r="J258" s="3"/>
      <c r="K258" s="3" t="s">
        <v>21</v>
      </c>
      <c r="L258" s="3" t="s">
        <v>21</v>
      </c>
      <c r="M258" s="3" t="s">
        <v>1058</v>
      </c>
      <c r="N258" s="3" t="s">
        <v>1059</v>
      </c>
      <c r="O258" s="3" t="s">
        <v>1060</v>
      </c>
      <c r="P258" s="3"/>
      <c r="Q258" s="3"/>
      <c r="R258" s="3"/>
      <c r="S258" s="3"/>
      <c r="T258" s="3"/>
      <c r="U258" s="3"/>
      <c r="V258" s="3"/>
      <c r="W258" s="3"/>
      <c r="X258" s="3"/>
      <c r="Y258" s="3"/>
      <c r="Z258" s="3"/>
      <c r="AA258" s="3"/>
    </row>
    <row r="259" spans="1:27" ht="14.25" customHeight="1">
      <c r="A259" s="2">
        <v>46178</v>
      </c>
      <c r="B259" s="3" t="s">
        <v>1030</v>
      </c>
      <c r="C259" s="3" t="s">
        <v>1031</v>
      </c>
      <c r="D259" s="3" t="s">
        <v>1061</v>
      </c>
      <c r="E259" s="3" t="s">
        <v>1062</v>
      </c>
      <c r="F259" s="3"/>
      <c r="G259" s="3" t="s">
        <v>1034</v>
      </c>
      <c r="H259" s="3"/>
      <c r="I259" s="3" t="s">
        <v>20</v>
      </c>
      <c r="J259" s="3" t="s">
        <v>21</v>
      </c>
      <c r="K259" s="3" t="s">
        <v>21</v>
      </c>
      <c r="L259" s="3" t="s">
        <v>21</v>
      </c>
      <c r="M259" s="3" t="s">
        <v>280</v>
      </c>
      <c r="N259" s="3" t="s">
        <v>281</v>
      </c>
      <c r="O259" s="3" t="s">
        <v>1063</v>
      </c>
      <c r="P259" s="3" t="s">
        <v>30</v>
      </c>
      <c r="Q259" s="3"/>
      <c r="R259" s="3"/>
      <c r="S259" s="3"/>
      <c r="T259" s="3"/>
      <c r="U259" s="3"/>
      <c r="V259" s="3"/>
      <c r="W259" s="3"/>
      <c r="X259" s="3"/>
      <c r="Y259" s="3"/>
      <c r="Z259" s="3"/>
      <c r="AA259" s="3"/>
    </row>
    <row r="260" spans="1:27" ht="14.25" customHeight="1">
      <c r="A260" s="2">
        <v>46178</v>
      </c>
      <c r="B260" s="3" t="s">
        <v>15</v>
      </c>
      <c r="C260" s="3" t="s">
        <v>16</v>
      </c>
      <c r="D260" s="3" t="s">
        <v>1064</v>
      </c>
      <c r="E260" s="3" t="s">
        <v>1065</v>
      </c>
      <c r="F260" s="3"/>
      <c r="G260" s="3" t="s">
        <v>107</v>
      </c>
      <c r="H260" s="3"/>
      <c r="I260" s="3" t="s">
        <v>20</v>
      </c>
      <c r="J260" s="3"/>
      <c r="K260" s="3" t="s">
        <v>21</v>
      </c>
      <c r="L260" s="3" t="s">
        <v>21</v>
      </c>
      <c r="M260" s="3" t="s">
        <v>1066</v>
      </c>
      <c r="N260" s="3" t="s">
        <v>1067</v>
      </c>
      <c r="O260" s="3" t="s">
        <v>1068</v>
      </c>
      <c r="P260" s="3"/>
      <c r="Q260" s="3"/>
      <c r="R260" s="3"/>
      <c r="S260" s="3"/>
      <c r="T260" s="3"/>
      <c r="U260" s="3"/>
      <c r="V260" s="3"/>
      <c r="W260" s="3"/>
      <c r="X260" s="3"/>
      <c r="Y260" s="3"/>
      <c r="Z260" s="3"/>
      <c r="AA260" s="3"/>
    </row>
    <row r="261" spans="1:27" ht="14.25" customHeight="1">
      <c r="A261" s="2">
        <v>46178</v>
      </c>
      <c r="B261" s="3" t="s">
        <v>25</v>
      </c>
      <c r="C261" s="3" t="s">
        <v>26</v>
      </c>
      <c r="D261" s="3" t="s">
        <v>25</v>
      </c>
      <c r="E261" s="3" t="s">
        <v>1069</v>
      </c>
      <c r="F261" s="3"/>
      <c r="G261" s="3" t="s">
        <v>19</v>
      </c>
      <c r="H261" s="3"/>
      <c r="I261" s="3" t="s">
        <v>20</v>
      </c>
      <c r="J261" s="3"/>
      <c r="K261" s="3" t="s">
        <v>28</v>
      </c>
      <c r="L261" s="3" t="s">
        <v>28</v>
      </c>
      <c r="M261" s="3" t="s">
        <v>1070</v>
      </c>
      <c r="N261" s="3" t="s">
        <v>1071</v>
      </c>
      <c r="O261" s="3" t="s">
        <v>1072</v>
      </c>
      <c r="P261" s="3" t="s">
        <v>48</v>
      </c>
      <c r="Q261" s="3"/>
      <c r="R261" s="3"/>
      <c r="S261" s="3"/>
      <c r="T261" s="3"/>
      <c r="U261" s="3"/>
      <c r="V261" s="3"/>
      <c r="W261" s="3"/>
      <c r="X261" s="3"/>
      <c r="Y261" s="3"/>
      <c r="Z261" s="3"/>
      <c r="AA261" s="3"/>
    </row>
    <row r="262" spans="1:27" ht="14.25" customHeight="1">
      <c r="A262" s="2">
        <v>46178</v>
      </c>
      <c r="B262" s="3" t="s">
        <v>1073</v>
      </c>
      <c r="C262" s="3" t="s">
        <v>1074</v>
      </c>
      <c r="D262" s="3" t="s">
        <v>1075</v>
      </c>
      <c r="E262" s="3" t="s">
        <v>1076</v>
      </c>
      <c r="F262" s="3"/>
      <c r="G262" s="3" t="s">
        <v>1034</v>
      </c>
      <c r="H262" s="3"/>
      <c r="I262" s="3" t="s">
        <v>20</v>
      </c>
      <c r="J262" s="3"/>
      <c r="K262" s="3" t="s">
        <v>21</v>
      </c>
      <c r="L262" s="3" t="s">
        <v>28</v>
      </c>
      <c r="M262" s="3" t="s">
        <v>1077</v>
      </c>
      <c r="N262" s="3" t="s">
        <v>1078</v>
      </c>
      <c r="O262" s="3" t="s">
        <v>1079</v>
      </c>
      <c r="P262" s="3"/>
      <c r="Q262" s="3"/>
      <c r="R262" s="3"/>
      <c r="S262" s="3"/>
      <c r="T262" s="3"/>
      <c r="U262" s="3"/>
      <c r="V262" s="3"/>
      <c r="W262" s="3"/>
      <c r="X262" s="3"/>
      <c r="Y262" s="3"/>
      <c r="Z262" s="3"/>
      <c r="AA262" s="3"/>
    </row>
    <row r="263" spans="1:27" ht="14.25" customHeight="1">
      <c r="A263" s="2">
        <v>46178</v>
      </c>
      <c r="B263" s="3" t="s">
        <v>15</v>
      </c>
      <c r="C263" s="3" t="s">
        <v>16</v>
      </c>
      <c r="D263" s="3" t="s">
        <v>1064</v>
      </c>
      <c r="E263" s="3" t="s">
        <v>1080</v>
      </c>
      <c r="F263" s="3"/>
      <c r="G263" s="3" t="s">
        <v>19</v>
      </c>
      <c r="H263" s="3"/>
      <c r="I263" s="3" t="s">
        <v>20</v>
      </c>
      <c r="J263" s="3"/>
      <c r="K263" s="3" t="s">
        <v>21</v>
      </c>
      <c r="L263" s="3" t="s">
        <v>21</v>
      </c>
      <c r="M263" s="3" t="s">
        <v>1081</v>
      </c>
      <c r="N263" s="3" t="s">
        <v>1082</v>
      </c>
      <c r="O263" s="3" t="s">
        <v>1083</v>
      </c>
      <c r="P263" s="3" t="s">
        <v>30</v>
      </c>
      <c r="Q263" s="3"/>
      <c r="R263" s="3"/>
      <c r="S263" s="3"/>
      <c r="T263" s="3"/>
      <c r="U263" s="3"/>
      <c r="V263" s="3"/>
      <c r="W263" s="3"/>
      <c r="X263" s="3"/>
      <c r="Y263" s="3"/>
      <c r="Z263" s="3"/>
      <c r="AA263" s="3"/>
    </row>
    <row r="264" spans="1:27" ht="14.25" customHeight="1">
      <c r="A264" s="2">
        <v>46178</v>
      </c>
      <c r="B264" s="3" t="s">
        <v>960</v>
      </c>
      <c r="C264" s="3" t="s">
        <v>50</v>
      </c>
      <c r="D264" s="3" t="s">
        <v>919</v>
      </c>
      <c r="E264" s="3" t="s">
        <v>1084</v>
      </c>
      <c r="F264" s="3"/>
      <c r="G264" s="3" t="s">
        <v>19</v>
      </c>
      <c r="H264" s="3"/>
      <c r="I264" s="3" t="s">
        <v>20</v>
      </c>
      <c r="J264" s="3"/>
      <c r="K264" s="3" t="s">
        <v>28</v>
      </c>
      <c r="L264" s="3" t="s">
        <v>28</v>
      </c>
      <c r="M264" s="3" t="s">
        <v>1085</v>
      </c>
      <c r="N264" s="3" t="s">
        <v>1086</v>
      </c>
      <c r="O264" s="3" t="s">
        <v>1086</v>
      </c>
      <c r="P264" s="3"/>
      <c r="Q264" s="3"/>
      <c r="R264" s="3"/>
      <c r="S264" s="3"/>
      <c r="T264" s="3"/>
      <c r="U264" s="3"/>
      <c r="V264" s="3"/>
      <c r="W264" s="3"/>
      <c r="X264" s="3"/>
      <c r="Y264" s="3"/>
      <c r="Z264" s="3"/>
      <c r="AA264" s="3"/>
    </row>
    <row r="265" spans="1:27" ht="14.25" customHeight="1">
      <c r="A265" s="2">
        <v>46178</v>
      </c>
      <c r="B265" s="3" t="s">
        <v>81</v>
      </c>
      <c r="C265" s="3" t="s">
        <v>50</v>
      </c>
      <c r="D265" s="3" t="s">
        <v>136</v>
      </c>
      <c r="E265" s="3" t="s">
        <v>1087</v>
      </c>
      <c r="F265" s="3"/>
      <c r="G265" s="3" t="s">
        <v>19</v>
      </c>
      <c r="H265" s="3"/>
      <c r="I265" s="3" t="s">
        <v>20</v>
      </c>
      <c r="J265" s="3" t="s">
        <v>21</v>
      </c>
      <c r="K265" s="3" t="s">
        <v>21</v>
      </c>
      <c r="L265" s="3" t="s">
        <v>21</v>
      </c>
      <c r="M265" s="3" t="s">
        <v>1088</v>
      </c>
      <c r="N265" s="3" t="s">
        <v>828</v>
      </c>
      <c r="O265" s="3" t="s">
        <v>1089</v>
      </c>
      <c r="P265" s="3"/>
      <c r="Q265" s="3"/>
      <c r="R265" s="3"/>
      <c r="S265" s="3"/>
      <c r="T265" s="3"/>
      <c r="U265" s="3"/>
      <c r="V265" s="3"/>
      <c r="W265" s="3"/>
      <c r="X265" s="3"/>
      <c r="Y265" s="3"/>
      <c r="Z265" s="3"/>
      <c r="AA265" s="3"/>
    </row>
    <row r="266" spans="1:27" ht="14.25" customHeight="1">
      <c r="A266" s="2">
        <v>46178</v>
      </c>
      <c r="B266" s="3" t="s">
        <v>25</v>
      </c>
      <c r="C266" s="3" t="s">
        <v>26</v>
      </c>
      <c r="D266" s="3" t="s">
        <v>25</v>
      </c>
      <c r="E266" s="3" t="s">
        <v>1090</v>
      </c>
      <c r="F266" s="3"/>
      <c r="G266" s="3" t="s">
        <v>19</v>
      </c>
      <c r="H266" s="3"/>
      <c r="I266" s="3" t="s">
        <v>20</v>
      </c>
      <c r="J266" s="3"/>
      <c r="K266" s="3" t="s">
        <v>28</v>
      </c>
      <c r="L266" s="3" t="s">
        <v>28</v>
      </c>
      <c r="M266" s="3" t="s">
        <v>1091</v>
      </c>
      <c r="N266" s="3" t="s">
        <v>30</v>
      </c>
      <c r="O266" s="3" t="s">
        <v>30</v>
      </c>
      <c r="P266" s="3" t="s">
        <v>30</v>
      </c>
      <c r="Q266" s="3"/>
      <c r="R266" s="3"/>
      <c r="S266" s="3"/>
      <c r="T266" s="3"/>
      <c r="U266" s="3"/>
      <c r="V266" s="3"/>
      <c r="W266" s="3"/>
      <c r="X266" s="3"/>
      <c r="Y266" s="3"/>
      <c r="Z266" s="3"/>
      <c r="AA266" s="3"/>
    </row>
    <row r="267" spans="1:27" ht="14.25" customHeight="1">
      <c r="A267" s="2">
        <v>46178</v>
      </c>
      <c r="B267" s="3" t="s">
        <v>1030</v>
      </c>
      <c r="C267" s="3" t="s">
        <v>1031</v>
      </c>
      <c r="D267" s="3" t="s">
        <v>1061</v>
      </c>
      <c r="E267" s="3" t="s">
        <v>1092</v>
      </c>
      <c r="F267" s="3"/>
      <c r="G267" s="3" t="s">
        <v>981</v>
      </c>
      <c r="H267" s="3"/>
      <c r="I267" s="3" t="s">
        <v>20</v>
      </c>
      <c r="J267" s="3"/>
      <c r="K267" s="3" t="s">
        <v>21</v>
      </c>
      <c r="L267" s="3" t="s">
        <v>21</v>
      </c>
      <c r="M267" s="3" t="s">
        <v>1093</v>
      </c>
      <c r="N267" s="3" t="s">
        <v>1094</v>
      </c>
      <c r="O267" s="3" t="s">
        <v>1095</v>
      </c>
      <c r="P267" s="3" t="s">
        <v>30</v>
      </c>
      <c r="Q267" s="3"/>
      <c r="R267" s="3"/>
      <c r="S267" s="3"/>
      <c r="T267" s="3"/>
      <c r="U267" s="3"/>
      <c r="V267" s="3"/>
      <c r="W267" s="3"/>
      <c r="X267" s="3"/>
      <c r="Y267" s="3"/>
      <c r="Z267" s="3"/>
      <c r="AA267" s="3"/>
    </row>
    <row r="268" spans="1:27" ht="14.25" customHeight="1">
      <c r="A268" s="2">
        <v>46178</v>
      </c>
      <c r="B268" s="3" t="s">
        <v>1073</v>
      </c>
      <c r="C268" s="3" t="s">
        <v>1074</v>
      </c>
      <c r="D268" s="3" t="s">
        <v>1075</v>
      </c>
      <c r="E268" s="3" t="s">
        <v>1096</v>
      </c>
      <c r="F268" s="3"/>
      <c r="G268" s="3" t="s">
        <v>981</v>
      </c>
      <c r="H268" s="3"/>
      <c r="I268" s="3" t="s">
        <v>20</v>
      </c>
      <c r="J268" s="3"/>
      <c r="K268" s="3" t="s">
        <v>21</v>
      </c>
      <c r="L268" s="3" t="s">
        <v>21</v>
      </c>
      <c r="M268" s="3" t="s">
        <v>1097</v>
      </c>
      <c r="N268" s="3" t="s">
        <v>1098</v>
      </c>
      <c r="O268" s="3" t="s">
        <v>1099</v>
      </c>
      <c r="P268" s="3" t="s">
        <v>123</v>
      </c>
      <c r="Q268" s="3"/>
      <c r="R268" s="3"/>
      <c r="S268" s="3"/>
      <c r="T268" s="3"/>
      <c r="U268" s="3"/>
      <c r="V268" s="3"/>
      <c r="W268" s="3"/>
      <c r="X268" s="3"/>
      <c r="Y268" s="3"/>
      <c r="Z268" s="3"/>
      <c r="AA268" s="3"/>
    </row>
    <row r="269" spans="1:27" ht="14.25" customHeight="1">
      <c r="A269" s="2">
        <v>46178</v>
      </c>
      <c r="B269" s="3" t="s">
        <v>1030</v>
      </c>
      <c r="C269" s="3" t="s">
        <v>1031</v>
      </c>
      <c r="D269" s="3" t="s">
        <v>1032</v>
      </c>
      <c r="E269" s="3" t="s">
        <v>1100</v>
      </c>
      <c r="F269" s="3"/>
      <c r="G269" s="3" t="s">
        <v>1034</v>
      </c>
      <c r="H269" s="3"/>
      <c r="I269" s="3" t="s">
        <v>20</v>
      </c>
      <c r="J269" s="3"/>
      <c r="K269" s="3" t="s">
        <v>186</v>
      </c>
      <c r="L269" s="3" t="s">
        <v>186</v>
      </c>
      <c r="M269" s="3" t="s">
        <v>1101</v>
      </c>
      <c r="N269" s="3" t="s">
        <v>1102</v>
      </c>
      <c r="O269" s="3" t="s">
        <v>737</v>
      </c>
      <c r="P269" s="3" t="s">
        <v>1103</v>
      </c>
      <c r="Q269" s="3"/>
      <c r="R269" s="3"/>
      <c r="S269" s="3"/>
      <c r="T269" s="3"/>
      <c r="U269" s="3"/>
      <c r="V269" s="3"/>
      <c r="W269" s="3"/>
      <c r="X269" s="3"/>
      <c r="Y269" s="3"/>
      <c r="Z269" s="3"/>
      <c r="AA269" s="3"/>
    </row>
    <row r="270" spans="1:27" ht="14.25" customHeight="1">
      <c r="A270" s="2">
        <v>46178</v>
      </c>
      <c r="B270" s="3" t="s">
        <v>81</v>
      </c>
      <c r="C270" s="3" t="s">
        <v>82</v>
      </c>
      <c r="D270" s="3" t="s">
        <v>288</v>
      </c>
      <c r="E270" s="3" t="s">
        <v>1104</v>
      </c>
      <c r="F270" s="3"/>
      <c r="G270" s="3" t="s">
        <v>19</v>
      </c>
      <c r="H270" s="3"/>
      <c r="I270" s="3" t="s">
        <v>20</v>
      </c>
      <c r="J270" s="3"/>
      <c r="K270" s="3" t="s">
        <v>21</v>
      </c>
      <c r="L270" s="3" t="s">
        <v>21</v>
      </c>
      <c r="M270" s="3" t="s">
        <v>1105</v>
      </c>
      <c r="N270" s="3" t="s">
        <v>1106</v>
      </c>
      <c r="O270" s="3" t="s">
        <v>1106</v>
      </c>
      <c r="P270" s="3" t="s">
        <v>30</v>
      </c>
      <c r="Q270" s="3"/>
      <c r="R270" s="3"/>
      <c r="S270" s="3"/>
      <c r="T270" s="3"/>
      <c r="U270" s="3"/>
      <c r="V270" s="3"/>
      <c r="W270" s="3"/>
      <c r="X270" s="3"/>
      <c r="Y270" s="3"/>
      <c r="Z270" s="3"/>
      <c r="AA270" s="3"/>
    </row>
    <row r="271" spans="1:27" ht="14.25" customHeight="1">
      <c r="A271" s="2">
        <v>46178</v>
      </c>
      <c r="B271" s="3" t="s">
        <v>15</v>
      </c>
      <c r="C271" s="3" t="s">
        <v>16</v>
      </c>
      <c r="D271" s="3" t="s">
        <v>1064</v>
      </c>
      <c r="E271" s="3" t="s">
        <v>1107</v>
      </c>
      <c r="F271" s="3"/>
      <c r="G271" s="3" t="s">
        <v>107</v>
      </c>
      <c r="H271" s="3"/>
      <c r="I271" s="3" t="s">
        <v>20</v>
      </c>
      <c r="J271" s="3"/>
      <c r="K271" s="3" t="s">
        <v>28</v>
      </c>
      <c r="L271" s="3" t="s">
        <v>28</v>
      </c>
      <c r="M271" s="3" t="s">
        <v>1108</v>
      </c>
      <c r="N271" s="3" t="s">
        <v>1109</v>
      </c>
      <c r="O271" s="3" t="s">
        <v>1110</v>
      </c>
      <c r="P271" s="3" t="s">
        <v>100</v>
      </c>
      <c r="Q271" s="3"/>
      <c r="R271" s="3"/>
      <c r="S271" s="3"/>
      <c r="T271" s="3"/>
      <c r="U271" s="3"/>
      <c r="V271" s="3"/>
      <c r="W271" s="3"/>
      <c r="X271" s="3"/>
      <c r="Y271" s="3"/>
      <c r="Z271" s="3"/>
      <c r="AA271" s="3"/>
    </row>
    <row r="272" spans="1:27" ht="14.25" customHeight="1">
      <c r="A272" s="2">
        <v>46178</v>
      </c>
      <c r="B272" s="3" t="s">
        <v>81</v>
      </c>
      <c r="C272" s="3" t="s">
        <v>82</v>
      </c>
      <c r="D272" s="3" t="s">
        <v>288</v>
      </c>
      <c r="E272" s="3" t="s">
        <v>1111</v>
      </c>
      <c r="F272" s="3"/>
      <c r="G272" s="3" t="s">
        <v>19</v>
      </c>
      <c r="H272" s="3"/>
      <c r="I272" s="3" t="s">
        <v>20</v>
      </c>
      <c r="J272" s="3"/>
      <c r="K272" s="3" t="s">
        <v>21</v>
      </c>
      <c r="L272" s="3" t="s">
        <v>21</v>
      </c>
      <c r="M272" s="3" t="s">
        <v>1112</v>
      </c>
      <c r="N272" s="3" t="s">
        <v>1113</v>
      </c>
      <c r="O272" s="3" t="s">
        <v>1114</v>
      </c>
      <c r="P272" s="3"/>
      <c r="Q272" s="3"/>
      <c r="R272" s="3"/>
      <c r="S272" s="3"/>
      <c r="T272" s="3"/>
      <c r="U272" s="3"/>
      <c r="V272" s="3"/>
      <c r="W272" s="3"/>
      <c r="X272" s="3"/>
      <c r="Y272" s="3"/>
      <c r="Z272" s="3"/>
      <c r="AA272" s="3"/>
    </row>
    <row r="273" spans="1:27" ht="14.25" customHeight="1">
      <c r="A273" s="2">
        <v>46178</v>
      </c>
      <c r="B273" s="3" t="s">
        <v>1073</v>
      </c>
      <c r="C273" s="3" t="s">
        <v>1074</v>
      </c>
      <c r="D273" s="3" t="s">
        <v>1075</v>
      </c>
      <c r="E273" s="3" t="s">
        <v>1115</v>
      </c>
      <c r="F273" s="3"/>
      <c r="G273" s="3" t="s">
        <v>981</v>
      </c>
      <c r="H273" s="3"/>
      <c r="I273" s="3" t="s">
        <v>20</v>
      </c>
      <c r="J273" s="3"/>
      <c r="K273" s="3" t="s">
        <v>21</v>
      </c>
      <c r="L273" s="3" t="s">
        <v>21</v>
      </c>
      <c r="M273" s="3" t="s">
        <v>1116</v>
      </c>
      <c r="N273" s="3" t="s">
        <v>1117</v>
      </c>
      <c r="O273" s="3" t="s">
        <v>1118</v>
      </c>
      <c r="P273" s="3" t="s">
        <v>259</v>
      </c>
      <c r="Q273" s="3"/>
      <c r="R273" s="3"/>
      <c r="S273" s="3"/>
      <c r="T273" s="3"/>
      <c r="U273" s="3"/>
      <c r="V273" s="3"/>
      <c r="W273" s="3"/>
      <c r="X273" s="3"/>
      <c r="Y273" s="3"/>
      <c r="Z273" s="3"/>
      <c r="AA273" s="3"/>
    </row>
    <row r="274" spans="1:27" ht="14.25" customHeight="1">
      <c r="A274" s="2">
        <v>46178</v>
      </c>
      <c r="B274" s="3" t="s">
        <v>81</v>
      </c>
      <c r="C274" s="3" t="s">
        <v>82</v>
      </c>
      <c r="D274" s="3" t="s">
        <v>288</v>
      </c>
      <c r="E274" s="3" t="s">
        <v>1119</v>
      </c>
      <c r="F274" s="3"/>
      <c r="G274" s="3" t="s">
        <v>19</v>
      </c>
      <c r="H274" s="3"/>
      <c r="I274" s="3" t="s">
        <v>20</v>
      </c>
      <c r="J274" s="3"/>
      <c r="K274" s="3" t="s">
        <v>28</v>
      </c>
      <c r="L274" s="3" t="s">
        <v>28</v>
      </c>
      <c r="M274" s="3" t="s">
        <v>1120</v>
      </c>
      <c r="N274" s="3" t="s">
        <v>1121</v>
      </c>
      <c r="O274" s="3" t="s">
        <v>1122</v>
      </c>
      <c r="P274" s="3" t="s">
        <v>30</v>
      </c>
      <c r="Q274" s="3"/>
      <c r="R274" s="3"/>
      <c r="S274" s="3"/>
      <c r="T274" s="3"/>
      <c r="U274" s="3"/>
      <c r="V274" s="3"/>
      <c r="W274" s="3"/>
      <c r="X274" s="3"/>
      <c r="Y274" s="3"/>
      <c r="Z274" s="3"/>
      <c r="AA274" s="3"/>
    </row>
    <row r="275" spans="1:27" ht="14.25" customHeight="1">
      <c r="A275" s="2">
        <v>46178</v>
      </c>
      <c r="B275" s="3" t="s">
        <v>150</v>
      </c>
      <c r="C275" s="3" t="s">
        <v>151</v>
      </c>
      <c r="D275" s="3" t="s">
        <v>150</v>
      </c>
      <c r="E275" s="3" t="s">
        <v>1123</v>
      </c>
      <c r="F275" s="3"/>
      <c r="G275" s="3" t="s">
        <v>19</v>
      </c>
      <c r="H275" s="3"/>
      <c r="I275" s="3" t="s">
        <v>45</v>
      </c>
      <c r="J275" s="3"/>
      <c r="K275" s="3" t="s">
        <v>28</v>
      </c>
      <c r="L275" s="3" t="s">
        <v>28</v>
      </c>
      <c r="M275" s="3" t="s">
        <v>1124</v>
      </c>
      <c r="N275" s="3" t="s">
        <v>56</v>
      </c>
      <c r="O275" s="3" t="s">
        <v>1125</v>
      </c>
      <c r="P275" s="3"/>
      <c r="Q275" s="3"/>
      <c r="R275" s="3"/>
      <c r="S275" s="3"/>
      <c r="T275" s="3"/>
      <c r="U275" s="3"/>
      <c r="V275" s="3"/>
      <c r="W275" s="3"/>
      <c r="X275" s="3"/>
      <c r="Y275" s="3"/>
      <c r="Z275" s="3"/>
      <c r="AA275" s="3"/>
    </row>
    <row r="276" spans="1:27" ht="14.25" customHeight="1">
      <c r="A276" s="2">
        <v>46178</v>
      </c>
      <c r="B276" s="3" t="s">
        <v>81</v>
      </c>
      <c r="C276" s="3" t="s">
        <v>82</v>
      </c>
      <c r="D276" s="3" t="s">
        <v>83</v>
      </c>
      <c r="E276" s="3" t="s">
        <v>1126</v>
      </c>
      <c r="F276" s="3"/>
      <c r="G276" s="3" t="s">
        <v>19</v>
      </c>
      <c r="H276" s="3"/>
      <c r="I276" s="3" t="s">
        <v>45</v>
      </c>
      <c r="J276" s="3"/>
      <c r="K276" s="3" t="s">
        <v>21</v>
      </c>
      <c r="L276" s="3" t="s">
        <v>21</v>
      </c>
      <c r="M276" s="3" t="s">
        <v>1127</v>
      </c>
      <c r="N276" s="3" t="s">
        <v>1128</v>
      </c>
      <c r="O276" s="3" t="s">
        <v>1129</v>
      </c>
      <c r="P276" s="3"/>
      <c r="Q276" s="3"/>
      <c r="R276" s="3"/>
      <c r="S276" s="3"/>
      <c r="T276" s="3"/>
      <c r="U276" s="3"/>
      <c r="V276" s="3"/>
      <c r="W276" s="3"/>
      <c r="X276" s="3"/>
      <c r="Y276" s="3"/>
      <c r="Z276" s="3"/>
      <c r="AA276" s="3"/>
    </row>
    <row r="277" spans="1:27" ht="14.25" customHeight="1">
      <c r="A277" s="2">
        <v>46178</v>
      </c>
      <c r="B277" s="3" t="s">
        <v>1073</v>
      </c>
      <c r="C277" s="3" t="s">
        <v>1074</v>
      </c>
      <c r="D277" s="3" t="s">
        <v>1075</v>
      </c>
      <c r="E277" s="3" t="s">
        <v>1130</v>
      </c>
      <c r="F277" s="3"/>
      <c r="G277" s="3" t="s">
        <v>1034</v>
      </c>
      <c r="H277" s="3"/>
      <c r="I277" s="3" t="s">
        <v>20</v>
      </c>
      <c r="J277" s="3"/>
      <c r="K277" s="3" t="s">
        <v>28</v>
      </c>
      <c r="L277" s="3" t="s">
        <v>28</v>
      </c>
      <c r="M277" s="3" t="s">
        <v>1131</v>
      </c>
      <c r="N277" s="3" t="s">
        <v>1132</v>
      </c>
      <c r="O277" s="3" t="s">
        <v>1133</v>
      </c>
      <c r="P277" s="3" t="s">
        <v>1134</v>
      </c>
      <c r="Q277" s="3"/>
      <c r="R277" s="3"/>
      <c r="S277" s="3"/>
      <c r="T277" s="3"/>
      <c r="U277" s="3"/>
      <c r="V277" s="3"/>
      <c r="W277" s="3"/>
      <c r="X277" s="3"/>
      <c r="Y277" s="3"/>
      <c r="Z277" s="3"/>
      <c r="AA277" s="3"/>
    </row>
    <row r="278" spans="1:27" ht="14.25" customHeight="1">
      <c r="A278" s="2">
        <v>46178</v>
      </c>
      <c r="B278" s="3" t="s">
        <v>150</v>
      </c>
      <c r="C278" s="3" t="s">
        <v>151</v>
      </c>
      <c r="D278" s="3" t="s">
        <v>150</v>
      </c>
      <c r="E278" s="3" t="s">
        <v>1135</v>
      </c>
      <c r="F278" s="3"/>
      <c r="G278" s="3" t="s">
        <v>19</v>
      </c>
      <c r="H278" s="3"/>
      <c r="I278" s="3" t="s">
        <v>20</v>
      </c>
      <c r="J278" s="3"/>
      <c r="K278" s="3" t="s">
        <v>28</v>
      </c>
      <c r="L278" s="3" t="s">
        <v>28</v>
      </c>
      <c r="M278" s="3" t="s">
        <v>1136</v>
      </c>
      <c r="N278" s="3" t="s">
        <v>1137</v>
      </c>
      <c r="O278" s="3" t="s">
        <v>1138</v>
      </c>
      <c r="P278" s="3" t="s">
        <v>1139</v>
      </c>
      <c r="Q278" s="3"/>
      <c r="R278" s="3"/>
      <c r="S278" s="3"/>
      <c r="T278" s="3"/>
      <c r="U278" s="3"/>
      <c r="V278" s="3"/>
      <c r="W278" s="3"/>
      <c r="X278" s="3"/>
      <c r="Y278" s="3"/>
      <c r="Z278" s="3"/>
      <c r="AA278" s="3"/>
    </row>
    <row r="279" spans="1:27" ht="14.25" customHeight="1">
      <c r="A279" s="2">
        <v>46178</v>
      </c>
      <c r="B279" s="3" t="s">
        <v>1030</v>
      </c>
      <c r="C279" s="3" t="s">
        <v>1031</v>
      </c>
      <c r="D279" s="3" t="s">
        <v>1061</v>
      </c>
      <c r="E279" s="3" t="s">
        <v>1140</v>
      </c>
      <c r="F279" s="3"/>
      <c r="G279" s="3" t="s">
        <v>1034</v>
      </c>
      <c r="H279" s="3"/>
      <c r="I279" s="3" t="s">
        <v>45</v>
      </c>
      <c r="J279" s="3"/>
      <c r="K279" s="3" t="s">
        <v>21</v>
      </c>
      <c r="L279" s="3" t="s">
        <v>21</v>
      </c>
      <c r="M279" s="3" t="s">
        <v>1141</v>
      </c>
      <c r="N279" s="3" t="s">
        <v>1142</v>
      </c>
      <c r="O279" s="3" t="s">
        <v>1143</v>
      </c>
      <c r="P279" s="3" t="s">
        <v>123</v>
      </c>
      <c r="Q279" s="3"/>
      <c r="R279" s="3"/>
      <c r="S279" s="3"/>
      <c r="T279" s="3"/>
      <c r="U279" s="3"/>
      <c r="V279" s="3"/>
      <c r="W279" s="3"/>
      <c r="X279" s="3"/>
      <c r="Y279" s="3"/>
      <c r="Z279" s="3"/>
      <c r="AA279" s="3"/>
    </row>
    <row r="280" spans="1:27" ht="14.25" customHeight="1">
      <c r="A280" s="2">
        <v>46178</v>
      </c>
      <c r="B280" s="3" t="s">
        <v>1030</v>
      </c>
      <c r="C280" s="3" t="s">
        <v>1031</v>
      </c>
      <c r="D280" s="3" t="s">
        <v>1032</v>
      </c>
      <c r="E280" s="3" t="s">
        <v>1144</v>
      </c>
      <c r="F280" s="3"/>
      <c r="G280" s="3" t="s">
        <v>1034</v>
      </c>
      <c r="H280" s="3"/>
      <c r="I280" s="3" t="s">
        <v>20</v>
      </c>
      <c r="J280" s="3"/>
      <c r="K280" s="3" t="s">
        <v>28</v>
      </c>
      <c r="L280" s="3" t="s">
        <v>21</v>
      </c>
      <c r="M280" s="3" t="s">
        <v>1145</v>
      </c>
      <c r="N280" s="3" t="s">
        <v>1146</v>
      </c>
      <c r="O280" s="3" t="s">
        <v>1147</v>
      </c>
      <c r="P280" s="3"/>
      <c r="Q280" s="3"/>
      <c r="R280" s="3"/>
      <c r="S280" s="3"/>
      <c r="T280" s="3"/>
      <c r="U280" s="3"/>
      <c r="V280" s="3"/>
      <c r="W280" s="3"/>
      <c r="X280" s="3"/>
      <c r="Y280" s="3"/>
      <c r="Z280" s="3"/>
      <c r="AA280" s="3"/>
    </row>
    <row r="281" spans="1:27" ht="14.25" customHeight="1">
      <c r="A281" s="2">
        <v>46178</v>
      </c>
      <c r="B281" s="3" t="s">
        <v>1073</v>
      </c>
      <c r="C281" s="3" t="s">
        <v>1074</v>
      </c>
      <c r="D281" s="3" t="s">
        <v>1075</v>
      </c>
      <c r="E281" s="3" t="s">
        <v>1148</v>
      </c>
      <c r="F281" s="3"/>
      <c r="G281" s="3" t="s">
        <v>981</v>
      </c>
      <c r="H281" s="3"/>
      <c r="I281" s="3" t="s">
        <v>20</v>
      </c>
      <c r="J281" s="3"/>
      <c r="K281" s="3" t="s">
        <v>21</v>
      </c>
      <c r="L281" s="3" t="s">
        <v>28</v>
      </c>
      <c r="M281" s="3" t="s">
        <v>1149</v>
      </c>
      <c r="N281" s="3" t="s">
        <v>1150</v>
      </c>
      <c r="O281" s="3" t="s">
        <v>1151</v>
      </c>
      <c r="P281" s="3" t="s">
        <v>123</v>
      </c>
      <c r="Q281" s="3"/>
      <c r="R281" s="3"/>
      <c r="S281" s="3"/>
      <c r="T281" s="3"/>
      <c r="U281" s="3"/>
      <c r="V281" s="3"/>
      <c r="W281" s="3"/>
      <c r="X281" s="3"/>
      <c r="Y281" s="3"/>
      <c r="Z281" s="3"/>
      <c r="AA281" s="3"/>
    </row>
    <row r="282" spans="1:27" ht="14.25" customHeight="1">
      <c r="A282" s="2">
        <v>46178</v>
      </c>
      <c r="B282" s="3" t="s">
        <v>15</v>
      </c>
      <c r="C282" s="3" t="s">
        <v>16</v>
      </c>
      <c r="D282" s="3" t="s">
        <v>1064</v>
      </c>
      <c r="E282" s="3" t="s">
        <v>1152</v>
      </c>
      <c r="F282" s="3"/>
      <c r="G282" s="3" t="s">
        <v>19</v>
      </c>
      <c r="H282" s="3"/>
      <c r="I282" s="3" t="s">
        <v>20</v>
      </c>
      <c r="J282" s="3"/>
      <c r="K282" s="3" t="s">
        <v>21</v>
      </c>
      <c r="L282" s="3" t="s">
        <v>21</v>
      </c>
      <c r="M282" s="3" t="s">
        <v>1153</v>
      </c>
      <c r="N282" s="3" t="s">
        <v>1154</v>
      </c>
      <c r="O282" s="3" t="s">
        <v>1155</v>
      </c>
      <c r="P282" s="3"/>
      <c r="Q282" s="3"/>
      <c r="R282" s="3"/>
      <c r="S282" s="3"/>
      <c r="T282" s="3"/>
      <c r="U282" s="3"/>
      <c r="V282" s="3"/>
      <c r="W282" s="3"/>
      <c r="X282" s="3"/>
      <c r="Y282" s="3"/>
      <c r="Z282" s="3"/>
      <c r="AA282" s="3"/>
    </row>
    <row r="283" spans="1:27" ht="14.25" customHeight="1">
      <c r="A283" s="2">
        <v>46178</v>
      </c>
      <c r="B283" s="3" t="s">
        <v>81</v>
      </c>
      <c r="C283" s="3" t="s">
        <v>50</v>
      </c>
      <c r="D283" s="3" t="s">
        <v>196</v>
      </c>
      <c r="E283" s="3" t="s">
        <v>1156</v>
      </c>
      <c r="F283" s="3"/>
      <c r="G283" s="3" t="s">
        <v>19</v>
      </c>
      <c r="H283" s="3"/>
      <c r="I283" s="3" t="s">
        <v>20</v>
      </c>
      <c r="J283" s="3"/>
      <c r="K283" s="3" t="s">
        <v>21</v>
      </c>
      <c r="L283" s="3" t="s">
        <v>28</v>
      </c>
      <c r="M283" s="3" t="s">
        <v>1157</v>
      </c>
      <c r="N283" s="3" t="s">
        <v>1158</v>
      </c>
      <c r="O283" s="3" t="s">
        <v>1159</v>
      </c>
      <c r="P283" s="3" t="s">
        <v>1160</v>
      </c>
      <c r="Q283" s="3"/>
      <c r="R283" s="3"/>
      <c r="S283" s="3"/>
      <c r="T283" s="3"/>
      <c r="U283" s="3"/>
      <c r="V283" s="3"/>
      <c r="W283" s="3"/>
      <c r="X283" s="3"/>
      <c r="Y283" s="3"/>
      <c r="Z283" s="3"/>
      <c r="AA283" s="3"/>
    </row>
    <row r="284" spans="1:27" ht="14.25" customHeight="1">
      <c r="A284" s="2">
        <v>46178</v>
      </c>
      <c r="B284" s="3" t="s">
        <v>81</v>
      </c>
      <c r="C284" s="3" t="s">
        <v>50</v>
      </c>
      <c r="D284" s="3" t="s">
        <v>196</v>
      </c>
      <c r="E284" s="3" t="s">
        <v>1161</v>
      </c>
      <c r="F284" s="3"/>
      <c r="G284" s="3" t="s">
        <v>19</v>
      </c>
      <c r="H284" s="3"/>
      <c r="I284" s="3" t="s">
        <v>20</v>
      </c>
      <c r="J284" s="3"/>
      <c r="K284" s="3" t="s">
        <v>21</v>
      </c>
      <c r="L284" s="3" t="s">
        <v>21</v>
      </c>
      <c r="M284" s="3" t="s">
        <v>1162</v>
      </c>
      <c r="N284" s="3" t="s">
        <v>1163</v>
      </c>
      <c r="O284" s="3" t="s">
        <v>48</v>
      </c>
      <c r="P284" s="3"/>
      <c r="Q284" s="3"/>
      <c r="R284" s="3"/>
      <c r="S284" s="3"/>
      <c r="T284" s="3"/>
      <c r="U284" s="3"/>
      <c r="V284" s="3"/>
      <c r="W284" s="3"/>
      <c r="X284" s="3"/>
      <c r="Y284" s="3"/>
      <c r="Z284" s="3"/>
      <c r="AA284" s="3"/>
    </row>
    <row r="285" spans="1:27" ht="14.25" customHeight="1">
      <c r="A285" s="2">
        <v>46178</v>
      </c>
      <c r="B285" s="3" t="s">
        <v>15</v>
      </c>
      <c r="C285" s="3" t="s">
        <v>33</v>
      </c>
      <c r="D285" s="3" t="s">
        <v>34</v>
      </c>
      <c r="E285" s="3" t="s">
        <v>1164</v>
      </c>
      <c r="F285" s="3"/>
      <c r="G285" s="3" t="s">
        <v>19</v>
      </c>
      <c r="H285" s="3"/>
      <c r="I285" s="3" t="s">
        <v>20</v>
      </c>
      <c r="J285" s="3"/>
      <c r="K285" s="3" t="s">
        <v>21</v>
      </c>
      <c r="L285" s="3" t="s">
        <v>21</v>
      </c>
      <c r="M285" s="3" t="s">
        <v>1165</v>
      </c>
      <c r="N285" s="3" t="s">
        <v>48</v>
      </c>
      <c r="O285" s="3" t="s">
        <v>1166</v>
      </c>
      <c r="P285" s="3" t="s">
        <v>1167</v>
      </c>
      <c r="Q285" s="3"/>
      <c r="R285" s="3"/>
      <c r="S285" s="3"/>
      <c r="T285" s="3"/>
      <c r="U285" s="3"/>
      <c r="V285" s="3"/>
      <c r="W285" s="3"/>
      <c r="X285" s="3"/>
      <c r="Y285" s="3"/>
      <c r="Z285" s="3"/>
      <c r="AA285" s="3"/>
    </row>
    <row r="286" spans="1:27" ht="14.25" customHeight="1">
      <c r="A286" s="2">
        <v>46178</v>
      </c>
      <c r="B286" s="3" t="s">
        <v>1030</v>
      </c>
      <c r="C286" s="3" t="s">
        <v>1031</v>
      </c>
      <c r="D286" s="3" t="s">
        <v>1061</v>
      </c>
      <c r="E286" s="3" t="s">
        <v>1168</v>
      </c>
      <c r="F286" s="3"/>
      <c r="G286" s="3" t="s">
        <v>981</v>
      </c>
      <c r="H286" s="3"/>
      <c r="I286" s="3" t="s">
        <v>20</v>
      </c>
      <c r="J286" s="3"/>
      <c r="K286" s="3" t="s">
        <v>604</v>
      </c>
      <c r="L286" s="3" t="s">
        <v>21</v>
      </c>
      <c r="M286" s="3" t="s">
        <v>1169</v>
      </c>
      <c r="N286" s="3" t="s">
        <v>1170</v>
      </c>
      <c r="O286" s="3" t="s">
        <v>1171</v>
      </c>
      <c r="P286" s="3" t="s">
        <v>1172</v>
      </c>
      <c r="Q286" s="3"/>
      <c r="R286" s="3"/>
      <c r="S286" s="3"/>
      <c r="T286" s="3"/>
      <c r="U286" s="3"/>
      <c r="V286" s="3"/>
      <c r="W286" s="3"/>
      <c r="X286" s="3"/>
      <c r="Y286" s="3"/>
      <c r="Z286" s="3"/>
      <c r="AA286" s="3"/>
    </row>
    <row r="287" spans="1:27" ht="14.25" customHeight="1">
      <c r="A287" s="2">
        <v>46178</v>
      </c>
      <c r="B287" s="3" t="s">
        <v>15</v>
      </c>
      <c r="C287" s="3" t="s">
        <v>16</v>
      </c>
      <c r="D287" s="3" t="s">
        <v>663</v>
      </c>
      <c r="E287" s="3" t="s">
        <v>1173</v>
      </c>
      <c r="F287" s="3"/>
      <c r="G287" s="3" t="s">
        <v>107</v>
      </c>
      <c r="H287" s="3"/>
      <c r="I287" s="3" t="s">
        <v>20</v>
      </c>
      <c r="J287" s="3"/>
      <c r="K287" s="3" t="s">
        <v>21</v>
      </c>
      <c r="L287" s="3" t="s">
        <v>21</v>
      </c>
      <c r="M287" s="3" t="s">
        <v>1174</v>
      </c>
      <c r="N287" s="3" t="s">
        <v>728</v>
      </c>
      <c r="O287" s="3" t="s">
        <v>1175</v>
      </c>
      <c r="P287" s="3" t="s">
        <v>92</v>
      </c>
      <c r="Q287" s="3"/>
      <c r="R287" s="3"/>
      <c r="S287" s="3"/>
      <c r="T287" s="3"/>
      <c r="U287" s="3"/>
      <c r="V287" s="3"/>
      <c r="W287" s="3"/>
      <c r="X287" s="3"/>
      <c r="Y287" s="3"/>
      <c r="Z287" s="3"/>
      <c r="AA287" s="3"/>
    </row>
    <row r="288" spans="1:27" ht="14.25" customHeight="1">
      <c r="A288" s="2">
        <v>46178</v>
      </c>
      <c r="B288" s="3" t="s">
        <v>81</v>
      </c>
      <c r="C288" s="3" t="s">
        <v>50</v>
      </c>
      <c r="D288" s="3" t="s">
        <v>196</v>
      </c>
      <c r="E288" s="3" t="s">
        <v>557</v>
      </c>
      <c r="F288" s="3"/>
      <c r="G288" s="3" t="s">
        <v>19</v>
      </c>
      <c r="H288" s="3"/>
      <c r="I288" s="3" t="s">
        <v>20</v>
      </c>
      <c r="J288" s="3"/>
      <c r="K288" s="3" t="s">
        <v>28</v>
      </c>
      <c r="L288" s="3" t="s">
        <v>28</v>
      </c>
      <c r="M288" s="3" t="s">
        <v>1176</v>
      </c>
      <c r="N288" s="3" t="s">
        <v>1177</v>
      </c>
      <c r="O288" s="3" t="s">
        <v>48</v>
      </c>
      <c r="P288" s="3" t="s">
        <v>48</v>
      </c>
      <c r="Q288" s="3"/>
      <c r="R288" s="3"/>
      <c r="S288" s="3"/>
      <c r="T288" s="3"/>
      <c r="U288" s="3"/>
      <c r="V288" s="3"/>
      <c r="W288" s="3"/>
      <c r="X288" s="3"/>
      <c r="Y288" s="3"/>
      <c r="Z288" s="3"/>
      <c r="AA288" s="3"/>
    </row>
    <row r="289" spans="1:27" ht="14.25" customHeight="1">
      <c r="A289" s="2">
        <v>46178</v>
      </c>
      <c r="B289" s="3" t="s">
        <v>25</v>
      </c>
      <c r="C289" s="3" t="s">
        <v>26</v>
      </c>
      <c r="D289" s="3" t="s">
        <v>25</v>
      </c>
      <c r="E289" s="3" t="s">
        <v>1178</v>
      </c>
      <c r="F289" s="3"/>
      <c r="G289" s="3" t="s">
        <v>19</v>
      </c>
      <c r="H289" s="3"/>
      <c r="I289" s="3" t="s">
        <v>45</v>
      </c>
      <c r="J289" s="3"/>
      <c r="K289" s="3" t="s">
        <v>28</v>
      </c>
      <c r="L289" s="3" t="s">
        <v>28</v>
      </c>
      <c r="M289" s="3" t="s">
        <v>1179</v>
      </c>
      <c r="N289" s="3" t="s">
        <v>1177</v>
      </c>
      <c r="O289" s="3" t="s">
        <v>48</v>
      </c>
      <c r="P289" s="3" t="s">
        <v>1180</v>
      </c>
      <c r="Q289" s="3"/>
      <c r="R289" s="3"/>
      <c r="S289" s="3"/>
      <c r="T289" s="3"/>
      <c r="U289" s="3"/>
      <c r="V289" s="3"/>
      <c r="W289" s="3"/>
      <c r="X289" s="3"/>
      <c r="Y289" s="3"/>
      <c r="Z289" s="3"/>
      <c r="AA289" s="3"/>
    </row>
    <row r="290" spans="1:27" ht="14.25" customHeight="1">
      <c r="A290" s="2">
        <v>46178</v>
      </c>
      <c r="B290" s="3" t="s">
        <v>150</v>
      </c>
      <c r="C290" s="3" t="s">
        <v>151</v>
      </c>
      <c r="D290" s="3" t="s">
        <v>150</v>
      </c>
      <c r="E290" s="3" t="s">
        <v>1181</v>
      </c>
      <c r="F290" s="3"/>
      <c r="G290" s="3" t="s">
        <v>19</v>
      </c>
      <c r="H290" s="3"/>
      <c r="I290" s="3" t="s">
        <v>45</v>
      </c>
      <c r="J290" s="3"/>
      <c r="K290" s="3" t="s">
        <v>21</v>
      </c>
      <c r="L290" s="3" t="s">
        <v>21</v>
      </c>
      <c r="M290" s="3" t="s">
        <v>1182</v>
      </c>
      <c r="N290" s="3" t="s">
        <v>259</v>
      </c>
      <c r="O290" s="3" t="s">
        <v>259</v>
      </c>
      <c r="P290" s="3" t="s">
        <v>259</v>
      </c>
      <c r="Q290" s="3"/>
      <c r="R290" s="3"/>
      <c r="S290" s="3"/>
      <c r="T290" s="3"/>
      <c r="U290" s="3"/>
      <c r="V290" s="3"/>
      <c r="W290" s="3"/>
      <c r="X290" s="3"/>
      <c r="Y290" s="3"/>
      <c r="Z290" s="3"/>
      <c r="AA290" s="3"/>
    </row>
    <row r="291" spans="1:27" ht="14.25" customHeight="1">
      <c r="A291" s="2">
        <v>46178</v>
      </c>
      <c r="B291" s="3" t="s">
        <v>15</v>
      </c>
      <c r="C291" s="3" t="s">
        <v>16</v>
      </c>
      <c r="D291" s="3" t="s">
        <v>1064</v>
      </c>
      <c r="E291" s="3" t="s">
        <v>1183</v>
      </c>
      <c r="F291" s="3"/>
      <c r="G291" s="3" t="s">
        <v>107</v>
      </c>
      <c r="H291" s="3"/>
      <c r="I291" s="3" t="s">
        <v>45</v>
      </c>
      <c r="J291" s="3"/>
      <c r="K291" s="3" t="s">
        <v>28</v>
      </c>
      <c r="L291" s="3" t="s">
        <v>21</v>
      </c>
      <c r="M291" s="3" t="s">
        <v>1184</v>
      </c>
      <c r="N291" s="3" t="s">
        <v>1185</v>
      </c>
      <c r="O291" s="3" t="s">
        <v>1186</v>
      </c>
      <c r="P291" s="3" t="s">
        <v>1187</v>
      </c>
      <c r="Q291" s="3"/>
      <c r="R291" s="3"/>
      <c r="S291" s="3"/>
      <c r="T291" s="3"/>
      <c r="U291" s="3"/>
      <c r="V291" s="3"/>
      <c r="W291" s="3"/>
      <c r="X291" s="3"/>
      <c r="Y291" s="3"/>
      <c r="Z291" s="3"/>
      <c r="AA291" s="3"/>
    </row>
    <row r="292" spans="1:27" ht="14.25" customHeight="1">
      <c r="A292" s="2">
        <v>46178</v>
      </c>
      <c r="B292" s="3" t="s">
        <v>150</v>
      </c>
      <c r="C292" s="3" t="s">
        <v>151</v>
      </c>
      <c r="D292" s="3" t="s">
        <v>150</v>
      </c>
      <c r="E292" s="3" t="s">
        <v>1188</v>
      </c>
      <c r="F292" s="3"/>
      <c r="G292" s="3" t="s">
        <v>19</v>
      </c>
      <c r="H292" s="3"/>
      <c r="I292" s="3" t="s">
        <v>45</v>
      </c>
      <c r="J292" s="3"/>
      <c r="K292" s="3" t="s">
        <v>28</v>
      </c>
      <c r="L292" s="3" t="s">
        <v>28</v>
      </c>
      <c r="M292" s="3" t="s">
        <v>1189</v>
      </c>
      <c r="N292" s="3" t="s">
        <v>1190</v>
      </c>
      <c r="O292" s="3" t="s">
        <v>1191</v>
      </c>
      <c r="P292" s="3" t="s">
        <v>1192</v>
      </c>
      <c r="Q292" s="3"/>
      <c r="R292" s="3"/>
      <c r="S292" s="3"/>
      <c r="T292" s="3"/>
      <c r="U292" s="3"/>
      <c r="V292" s="3"/>
      <c r="W292" s="3"/>
      <c r="X292" s="3"/>
      <c r="Y292" s="3"/>
      <c r="Z292" s="3"/>
      <c r="AA292" s="3"/>
    </row>
    <row r="293" spans="1:27" ht="14.25" customHeight="1">
      <c r="A293" s="2">
        <v>46178</v>
      </c>
      <c r="B293" s="3" t="s">
        <v>1073</v>
      </c>
      <c r="C293" s="3" t="s">
        <v>1074</v>
      </c>
      <c r="D293" s="3" t="s">
        <v>1075</v>
      </c>
      <c r="E293" s="3" t="s">
        <v>1193</v>
      </c>
      <c r="F293" s="3"/>
      <c r="G293" s="3" t="s">
        <v>981</v>
      </c>
      <c r="H293" s="3"/>
      <c r="I293" s="3" t="s">
        <v>20</v>
      </c>
      <c r="J293" s="3"/>
      <c r="K293" s="3" t="s">
        <v>186</v>
      </c>
      <c r="L293" s="3" t="s">
        <v>21</v>
      </c>
      <c r="M293" s="3" t="s">
        <v>1194</v>
      </c>
      <c r="N293" s="3" t="s">
        <v>1195</v>
      </c>
      <c r="O293" s="3" t="s">
        <v>1196</v>
      </c>
      <c r="P293" s="3" t="s">
        <v>1197</v>
      </c>
      <c r="Q293" s="3"/>
      <c r="R293" s="3"/>
      <c r="S293" s="3"/>
      <c r="T293" s="3"/>
      <c r="U293" s="3"/>
      <c r="V293" s="3"/>
      <c r="W293" s="3"/>
      <c r="X293" s="3"/>
      <c r="Y293" s="3"/>
      <c r="Z293" s="3"/>
      <c r="AA293" s="3"/>
    </row>
    <row r="294" spans="1:27" ht="14.25" customHeight="1">
      <c r="A294" s="2">
        <v>46178</v>
      </c>
      <c r="B294" s="3" t="s">
        <v>81</v>
      </c>
      <c r="C294" s="3" t="s">
        <v>82</v>
      </c>
      <c r="D294" s="3" t="s">
        <v>288</v>
      </c>
      <c r="E294" s="3" t="s">
        <v>1198</v>
      </c>
      <c r="F294" s="3"/>
      <c r="G294" s="3" t="s">
        <v>19</v>
      </c>
      <c r="H294" s="3"/>
      <c r="I294" s="3" t="s">
        <v>20</v>
      </c>
      <c r="J294" s="3"/>
      <c r="K294" s="3" t="s">
        <v>28</v>
      </c>
      <c r="L294" s="3" t="s">
        <v>28</v>
      </c>
      <c r="M294" s="3" t="s">
        <v>1199</v>
      </c>
      <c r="N294" s="3" t="s">
        <v>1200</v>
      </c>
      <c r="O294" s="3" t="s">
        <v>1201</v>
      </c>
      <c r="P294" s="3"/>
      <c r="Q294" s="3"/>
      <c r="R294" s="3"/>
      <c r="S294" s="3"/>
      <c r="T294" s="3"/>
      <c r="U294" s="3"/>
      <c r="V294" s="3"/>
      <c r="W294" s="3"/>
      <c r="X294" s="3"/>
      <c r="Y294" s="3"/>
      <c r="Z294" s="3"/>
      <c r="AA294" s="3"/>
    </row>
    <row r="295" spans="1:27" ht="14.25" customHeight="1">
      <c r="A295" s="2">
        <v>46178</v>
      </c>
      <c r="B295" s="3" t="s">
        <v>25</v>
      </c>
      <c r="C295" s="3" t="s">
        <v>26</v>
      </c>
      <c r="D295" s="3" t="s">
        <v>25</v>
      </c>
      <c r="E295" s="3" t="s">
        <v>1202</v>
      </c>
      <c r="F295" s="3"/>
      <c r="G295" s="3" t="s">
        <v>19</v>
      </c>
      <c r="H295" s="3"/>
      <c r="I295" s="3" t="s">
        <v>45</v>
      </c>
      <c r="J295" s="3"/>
      <c r="K295" s="3" t="s">
        <v>28</v>
      </c>
      <c r="L295" s="3" t="s">
        <v>28</v>
      </c>
      <c r="M295" s="3" t="s">
        <v>1203</v>
      </c>
      <c r="N295" s="3" t="s">
        <v>1204</v>
      </c>
      <c r="O295" s="3" t="s">
        <v>1205</v>
      </c>
      <c r="P295" s="3" t="s">
        <v>278</v>
      </c>
      <c r="Q295" s="3"/>
      <c r="R295" s="3"/>
      <c r="S295" s="3"/>
      <c r="T295" s="3"/>
      <c r="U295" s="3"/>
      <c r="V295" s="3"/>
      <c r="W295" s="3"/>
      <c r="X295" s="3"/>
      <c r="Y295" s="3"/>
      <c r="Z295" s="3"/>
      <c r="AA295" s="3"/>
    </row>
    <row r="296" spans="1:27" ht="14.25" customHeight="1">
      <c r="A296" s="2">
        <v>46178</v>
      </c>
      <c r="B296" s="3" t="s">
        <v>1073</v>
      </c>
      <c r="C296" s="3" t="s">
        <v>1074</v>
      </c>
      <c r="D296" s="3" t="s">
        <v>1075</v>
      </c>
      <c r="E296" s="3" t="s">
        <v>1206</v>
      </c>
      <c r="F296" s="3"/>
      <c r="G296" s="3" t="s">
        <v>981</v>
      </c>
      <c r="H296" s="3"/>
      <c r="I296" s="3" t="s">
        <v>20</v>
      </c>
      <c r="J296" s="3"/>
      <c r="K296" s="3" t="s">
        <v>21</v>
      </c>
      <c r="L296" s="3" t="s">
        <v>21</v>
      </c>
      <c r="M296" s="3" t="s">
        <v>1207</v>
      </c>
      <c r="N296" s="3" t="s">
        <v>1208</v>
      </c>
      <c r="O296" s="3" t="s">
        <v>1209</v>
      </c>
      <c r="P296" s="3" t="s">
        <v>48</v>
      </c>
      <c r="Q296" s="3"/>
      <c r="R296" s="3"/>
      <c r="S296" s="3"/>
      <c r="T296" s="3"/>
      <c r="U296" s="3"/>
      <c r="V296" s="3"/>
      <c r="W296" s="3"/>
      <c r="X296" s="3"/>
      <c r="Y296" s="3"/>
      <c r="Z296" s="3"/>
      <c r="AA296" s="3"/>
    </row>
    <row r="297" spans="1:27" ht="14.25" customHeight="1">
      <c r="A297" s="2">
        <v>46178</v>
      </c>
      <c r="B297" s="3" t="s">
        <v>15</v>
      </c>
      <c r="C297" s="3" t="s">
        <v>33</v>
      </c>
      <c r="D297" s="3" t="s">
        <v>62</v>
      </c>
      <c r="E297" s="3" t="s">
        <v>1210</v>
      </c>
      <c r="F297" s="3"/>
      <c r="G297" s="3" t="s">
        <v>19</v>
      </c>
      <c r="H297" s="3"/>
      <c r="I297" s="3" t="s">
        <v>20</v>
      </c>
      <c r="J297" s="3"/>
      <c r="K297" s="3" t="s">
        <v>28</v>
      </c>
      <c r="L297" s="3" t="s">
        <v>28</v>
      </c>
      <c r="M297" s="3" t="s">
        <v>646</v>
      </c>
      <c r="N297" s="3" t="s">
        <v>1211</v>
      </c>
      <c r="O297" s="3" t="s">
        <v>56</v>
      </c>
      <c r="P297" s="3"/>
      <c r="Q297" s="3"/>
      <c r="R297" s="3"/>
      <c r="S297" s="3"/>
      <c r="T297" s="3"/>
      <c r="U297" s="3"/>
      <c r="V297" s="3"/>
      <c r="W297" s="3"/>
      <c r="X297" s="3"/>
      <c r="Y297" s="3"/>
      <c r="Z297" s="3"/>
      <c r="AA297" s="3"/>
    </row>
    <row r="298" spans="1:27" ht="14.25" customHeight="1">
      <c r="A298" s="2">
        <v>46178</v>
      </c>
      <c r="B298" s="3" t="s">
        <v>150</v>
      </c>
      <c r="C298" s="3" t="s">
        <v>151</v>
      </c>
      <c r="D298" s="3" t="s">
        <v>150</v>
      </c>
      <c r="E298" s="3" t="s">
        <v>1212</v>
      </c>
      <c r="F298" s="3"/>
      <c r="G298" s="3" t="s">
        <v>19</v>
      </c>
      <c r="H298" s="3"/>
      <c r="I298" s="3" t="s">
        <v>45</v>
      </c>
      <c r="J298" s="3"/>
      <c r="K298" s="3" t="s">
        <v>28</v>
      </c>
      <c r="L298" s="3" t="s">
        <v>28</v>
      </c>
      <c r="M298" s="3" t="s">
        <v>1213</v>
      </c>
      <c r="N298" s="3" t="s">
        <v>281</v>
      </c>
      <c r="O298" s="3" t="s">
        <v>48</v>
      </c>
      <c r="P298" s="3" t="s">
        <v>48</v>
      </c>
      <c r="Q298" s="3"/>
      <c r="R298" s="3"/>
      <c r="S298" s="3"/>
      <c r="T298" s="3"/>
      <c r="U298" s="3"/>
      <c r="V298" s="3"/>
      <c r="W298" s="3"/>
      <c r="X298" s="3"/>
      <c r="Y298" s="3"/>
      <c r="Z298" s="3"/>
      <c r="AA298" s="3"/>
    </row>
    <row r="299" spans="1:27" ht="14.25" customHeight="1">
      <c r="A299" s="2">
        <v>46178</v>
      </c>
      <c r="B299" s="3" t="s">
        <v>1030</v>
      </c>
      <c r="C299" s="3" t="s">
        <v>1031</v>
      </c>
      <c r="D299" s="3" t="s">
        <v>1061</v>
      </c>
      <c r="E299" s="3" t="s">
        <v>1214</v>
      </c>
      <c r="F299" s="3"/>
      <c r="G299" s="3" t="s">
        <v>981</v>
      </c>
      <c r="H299" s="3"/>
      <c r="I299" s="3" t="s">
        <v>45</v>
      </c>
      <c r="J299" s="3"/>
      <c r="K299" s="3" t="s">
        <v>21</v>
      </c>
      <c r="L299" s="3" t="s">
        <v>21</v>
      </c>
      <c r="M299" s="3" t="s">
        <v>1215</v>
      </c>
      <c r="N299" s="3" t="s">
        <v>1046</v>
      </c>
      <c r="O299" s="3" t="s">
        <v>1216</v>
      </c>
      <c r="P299" s="3" t="s">
        <v>30</v>
      </c>
      <c r="Q299" s="3"/>
      <c r="R299" s="3"/>
      <c r="S299" s="3"/>
      <c r="T299" s="3"/>
      <c r="U299" s="3"/>
      <c r="V299" s="3"/>
      <c r="W299" s="3"/>
      <c r="X299" s="3"/>
      <c r="Y299" s="3"/>
      <c r="Z299" s="3"/>
      <c r="AA299" s="3"/>
    </row>
    <row r="300" spans="1:27" ht="14.25" customHeight="1">
      <c r="A300" s="2">
        <v>46178</v>
      </c>
      <c r="B300" s="3" t="s">
        <v>81</v>
      </c>
      <c r="C300" s="3" t="s">
        <v>50</v>
      </c>
      <c r="D300" s="3" t="s">
        <v>919</v>
      </c>
      <c r="E300" s="3" t="s">
        <v>1217</v>
      </c>
      <c r="F300" s="3"/>
      <c r="G300" s="3" t="s">
        <v>19</v>
      </c>
      <c r="H300" s="3"/>
      <c r="I300" s="3" t="s">
        <v>45</v>
      </c>
      <c r="J300" s="3"/>
      <c r="K300" s="3" t="s">
        <v>21</v>
      </c>
      <c r="L300" s="3" t="s">
        <v>21</v>
      </c>
      <c r="M300" s="3" t="s">
        <v>1218</v>
      </c>
      <c r="N300" s="3" t="s">
        <v>30</v>
      </c>
      <c r="O300" s="3" t="s">
        <v>259</v>
      </c>
      <c r="P300" s="3"/>
      <c r="Q300" s="3"/>
      <c r="R300" s="3"/>
      <c r="S300" s="3"/>
      <c r="T300" s="3"/>
      <c r="U300" s="3"/>
      <c r="V300" s="3"/>
      <c r="W300" s="3"/>
      <c r="X300" s="3"/>
      <c r="Y300" s="3"/>
      <c r="Z300" s="3"/>
      <c r="AA300" s="3"/>
    </row>
    <row r="301" spans="1:27" ht="14.25" customHeight="1">
      <c r="A301" s="2">
        <v>46178</v>
      </c>
      <c r="B301" s="3" t="s">
        <v>81</v>
      </c>
      <c r="C301" s="3" t="s">
        <v>82</v>
      </c>
      <c r="D301" s="3" t="s">
        <v>95</v>
      </c>
      <c r="E301" s="3" t="s">
        <v>1219</v>
      </c>
      <c r="F301" s="3"/>
      <c r="G301" s="3" t="s">
        <v>19</v>
      </c>
      <c r="H301" s="3"/>
      <c r="I301" s="3" t="s">
        <v>20</v>
      </c>
      <c r="J301" s="3"/>
      <c r="K301" s="3" t="s">
        <v>28</v>
      </c>
      <c r="L301" s="3" t="s">
        <v>28</v>
      </c>
      <c r="M301" s="3" t="s">
        <v>1220</v>
      </c>
      <c r="N301" s="3" t="s">
        <v>1221</v>
      </c>
      <c r="O301" s="3" t="s">
        <v>1222</v>
      </c>
      <c r="P301" s="3" t="s">
        <v>1223</v>
      </c>
      <c r="Q301" s="3"/>
      <c r="R301" s="3"/>
      <c r="S301" s="3"/>
      <c r="T301" s="3"/>
      <c r="U301" s="3"/>
      <c r="V301" s="3"/>
      <c r="W301" s="3"/>
      <c r="X301" s="3"/>
      <c r="Y301" s="3"/>
      <c r="Z301" s="3"/>
      <c r="AA301" s="3"/>
    </row>
    <row r="302" spans="1:27" ht="14.25" customHeight="1">
      <c r="A302" s="2">
        <v>46178</v>
      </c>
      <c r="B302" s="3" t="s">
        <v>81</v>
      </c>
      <c r="C302" s="3" t="s">
        <v>50</v>
      </c>
      <c r="D302" s="3" t="s">
        <v>196</v>
      </c>
      <c r="E302" s="3" t="s">
        <v>1224</v>
      </c>
      <c r="F302" s="3"/>
      <c r="G302" s="3" t="s">
        <v>19</v>
      </c>
      <c r="H302" s="3"/>
      <c r="I302" s="3" t="s">
        <v>20</v>
      </c>
      <c r="J302" s="3"/>
      <c r="K302" s="3" t="s">
        <v>21</v>
      </c>
      <c r="L302" s="3" t="s">
        <v>21</v>
      </c>
      <c r="M302" s="3" t="s">
        <v>1225</v>
      </c>
      <c r="N302" s="3" t="s">
        <v>1226</v>
      </c>
      <c r="O302" s="3" t="s">
        <v>48</v>
      </c>
      <c r="P302" s="3" t="s">
        <v>48</v>
      </c>
      <c r="Q302" s="3"/>
      <c r="R302" s="3"/>
      <c r="S302" s="3"/>
      <c r="T302" s="3"/>
      <c r="U302" s="3"/>
      <c r="V302" s="3"/>
      <c r="W302" s="3"/>
      <c r="X302" s="3"/>
      <c r="Y302" s="3"/>
      <c r="Z302" s="3"/>
      <c r="AA302" s="3"/>
    </row>
    <row r="303" spans="1:27" ht="14.25" customHeight="1">
      <c r="A303" s="2">
        <v>46178</v>
      </c>
      <c r="B303" s="3" t="s">
        <v>15</v>
      </c>
      <c r="C303" s="3" t="s">
        <v>16</v>
      </c>
      <c r="D303" s="3" t="s">
        <v>177</v>
      </c>
      <c r="E303" s="3" t="s">
        <v>1227</v>
      </c>
      <c r="F303" s="3"/>
      <c r="G303" s="3" t="s">
        <v>19</v>
      </c>
      <c r="H303" s="3"/>
      <c r="I303" s="3" t="s">
        <v>20</v>
      </c>
      <c r="J303" s="3"/>
      <c r="K303" s="3" t="s">
        <v>21</v>
      </c>
      <c r="L303" s="3" t="s">
        <v>21</v>
      </c>
      <c r="M303" s="3" t="s">
        <v>1228</v>
      </c>
      <c r="N303" s="3" t="s">
        <v>56</v>
      </c>
      <c r="O303" s="3" t="s">
        <v>30</v>
      </c>
      <c r="P303" s="3" t="s">
        <v>30</v>
      </c>
      <c r="Q303" s="3"/>
      <c r="R303" s="3"/>
      <c r="S303" s="3"/>
      <c r="T303" s="3"/>
      <c r="U303" s="3"/>
      <c r="V303" s="3"/>
      <c r="W303" s="3"/>
      <c r="X303" s="3"/>
      <c r="Y303" s="3"/>
      <c r="Z303" s="3"/>
      <c r="AA303" s="3"/>
    </row>
    <row r="304" spans="1:27" ht="14.25" customHeight="1">
      <c r="A304" s="2">
        <v>46178</v>
      </c>
      <c r="B304" s="3" t="s">
        <v>1030</v>
      </c>
      <c r="C304" s="3" t="s">
        <v>1031</v>
      </c>
      <c r="D304" s="3" t="s">
        <v>1061</v>
      </c>
      <c r="E304" s="3" t="s">
        <v>1229</v>
      </c>
      <c r="F304" s="3"/>
      <c r="G304" s="3" t="s">
        <v>981</v>
      </c>
      <c r="H304" s="3"/>
      <c r="I304" s="3" t="s">
        <v>20</v>
      </c>
      <c r="J304" s="3"/>
      <c r="K304" s="3" t="s">
        <v>21</v>
      </c>
      <c r="L304" s="3" t="s">
        <v>21</v>
      </c>
      <c r="M304" s="3" t="s">
        <v>280</v>
      </c>
      <c r="N304" s="3" t="s">
        <v>513</v>
      </c>
      <c r="O304" s="3" t="s">
        <v>1230</v>
      </c>
      <c r="P304" s="3"/>
      <c r="Q304" s="3"/>
      <c r="R304" s="3"/>
      <c r="S304" s="3"/>
      <c r="T304" s="3"/>
      <c r="U304" s="3"/>
      <c r="V304" s="3"/>
      <c r="W304" s="3"/>
      <c r="X304" s="3"/>
      <c r="Y304" s="3"/>
      <c r="Z304" s="3"/>
      <c r="AA304" s="3"/>
    </row>
    <row r="305" spans="1:27" ht="14.25" customHeight="1">
      <c r="A305" s="2">
        <v>46178</v>
      </c>
      <c r="B305" s="3" t="s">
        <v>1030</v>
      </c>
      <c r="C305" s="3" t="s">
        <v>1031</v>
      </c>
      <c r="D305" s="3" t="s">
        <v>1032</v>
      </c>
      <c r="E305" s="3" t="s">
        <v>1231</v>
      </c>
      <c r="F305" s="3"/>
      <c r="G305" s="3" t="s">
        <v>1034</v>
      </c>
      <c r="H305" s="3"/>
      <c r="I305" s="3" t="s">
        <v>20</v>
      </c>
      <c r="J305" s="3"/>
      <c r="K305" s="3" t="s">
        <v>21</v>
      </c>
      <c r="L305" s="3" t="s">
        <v>21</v>
      </c>
      <c r="M305" s="3" t="s">
        <v>1232</v>
      </c>
      <c r="N305" s="3" t="s">
        <v>1233</v>
      </c>
      <c r="O305" s="3" t="s">
        <v>1234</v>
      </c>
      <c r="P305" s="3" t="s">
        <v>1235</v>
      </c>
      <c r="Q305" s="3"/>
      <c r="R305" s="3"/>
      <c r="S305" s="3"/>
      <c r="T305" s="3"/>
      <c r="U305" s="3"/>
      <c r="V305" s="3"/>
      <c r="W305" s="3"/>
      <c r="X305" s="3"/>
      <c r="Y305" s="3"/>
      <c r="Z305" s="3"/>
      <c r="AA305" s="3"/>
    </row>
    <row r="306" spans="1:27" ht="14.25" customHeight="1">
      <c r="A306" s="2">
        <v>46178</v>
      </c>
      <c r="B306" s="3" t="s">
        <v>15</v>
      </c>
      <c r="C306" s="3" t="s">
        <v>16</v>
      </c>
      <c r="D306" s="3" t="s">
        <v>105</v>
      </c>
      <c r="E306" s="3" t="s">
        <v>362</v>
      </c>
      <c r="F306" s="3"/>
      <c r="G306" s="3" t="s">
        <v>107</v>
      </c>
      <c r="H306" s="3"/>
      <c r="I306" s="3" t="s">
        <v>20</v>
      </c>
      <c r="J306" s="3"/>
      <c r="K306" s="3" t="s">
        <v>21</v>
      </c>
      <c r="L306" s="3" t="s">
        <v>21</v>
      </c>
      <c r="M306" s="3" t="s">
        <v>1236</v>
      </c>
      <c r="N306" s="3" t="s">
        <v>1237</v>
      </c>
      <c r="O306" s="3" t="s">
        <v>1238</v>
      </c>
      <c r="P306" s="3"/>
      <c r="Q306" s="3"/>
      <c r="R306" s="3"/>
      <c r="S306" s="3"/>
      <c r="T306" s="3"/>
      <c r="U306" s="3"/>
      <c r="V306" s="3"/>
      <c r="W306" s="3"/>
      <c r="X306" s="3"/>
      <c r="Y306" s="3"/>
      <c r="Z306" s="3"/>
      <c r="AA306" s="3"/>
    </row>
    <row r="307" spans="1:27" ht="14.25" customHeight="1">
      <c r="A307" s="2">
        <v>46178</v>
      </c>
      <c r="B307" s="3" t="s">
        <v>1030</v>
      </c>
      <c r="C307" s="3" t="s">
        <v>1031</v>
      </c>
      <c r="D307" s="3" t="s">
        <v>1032</v>
      </c>
      <c r="E307" s="3" t="s">
        <v>1231</v>
      </c>
      <c r="F307" s="3"/>
      <c r="G307" s="3" t="s">
        <v>1034</v>
      </c>
      <c r="H307" s="3"/>
      <c r="I307" s="3" t="s">
        <v>20</v>
      </c>
      <c r="J307" s="3"/>
      <c r="K307" s="3" t="s">
        <v>21</v>
      </c>
      <c r="L307" s="3" t="s">
        <v>21</v>
      </c>
      <c r="M307" s="3" t="s">
        <v>1239</v>
      </c>
      <c r="N307" s="3" t="s">
        <v>1240</v>
      </c>
      <c r="O307" s="3" t="s">
        <v>1241</v>
      </c>
      <c r="P307" s="3" t="s">
        <v>1242</v>
      </c>
      <c r="Q307" s="3"/>
      <c r="R307" s="3"/>
      <c r="S307" s="3"/>
      <c r="T307" s="3"/>
      <c r="U307" s="3"/>
      <c r="V307" s="3"/>
      <c r="W307" s="3"/>
      <c r="X307" s="3"/>
      <c r="Y307" s="3"/>
      <c r="Z307" s="3"/>
      <c r="AA307" s="3"/>
    </row>
    <row r="308" spans="1:27" ht="14.25" customHeight="1">
      <c r="A308" s="2">
        <v>46178</v>
      </c>
      <c r="B308" s="3" t="s">
        <v>81</v>
      </c>
      <c r="C308" s="3" t="s">
        <v>82</v>
      </c>
      <c r="D308" s="3" t="s">
        <v>288</v>
      </c>
      <c r="E308" s="3" t="s">
        <v>1243</v>
      </c>
      <c r="F308" s="3"/>
      <c r="G308" s="3" t="s">
        <v>19</v>
      </c>
      <c r="H308" s="3"/>
      <c r="I308" s="3" t="s">
        <v>20</v>
      </c>
      <c r="J308" s="3"/>
      <c r="K308" s="3" t="s">
        <v>28</v>
      </c>
      <c r="L308" s="3" t="s">
        <v>28</v>
      </c>
      <c r="M308" s="3" t="s">
        <v>1244</v>
      </c>
      <c r="N308" s="3" t="s">
        <v>1245</v>
      </c>
      <c r="O308" s="3" t="s">
        <v>1246</v>
      </c>
      <c r="P308" s="3" t="s">
        <v>1247</v>
      </c>
      <c r="Q308" s="3"/>
      <c r="R308" s="3"/>
      <c r="S308" s="3"/>
      <c r="T308" s="3"/>
      <c r="U308" s="3"/>
      <c r="V308" s="3"/>
      <c r="W308" s="3"/>
      <c r="X308" s="3"/>
      <c r="Y308" s="3"/>
      <c r="Z308" s="3"/>
      <c r="AA308" s="3"/>
    </row>
    <row r="309" spans="1:27" ht="14.25" customHeight="1">
      <c r="A309" s="2">
        <v>46178</v>
      </c>
      <c r="B309" s="3" t="s">
        <v>15</v>
      </c>
      <c r="C309" s="3" t="s">
        <v>16</v>
      </c>
      <c r="D309" s="3" t="s">
        <v>1064</v>
      </c>
      <c r="E309" s="3" t="s">
        <v>1248</v>
      </c>
      <c r="F309" s="3"/>
      <c r="G309" s="3" t="s">
        <v>107</v>
      </c>
      <c r="H309" s="3"/>
      <c r="I309" s="3" t="s">
        <v>20</v>
      </c>
      <c r="J309" s="3"/>
      <c r="K309" s="3" t="s">
        <v>21</v>
      </c>
      <c r="L309" s="3" t="s">
        <v>21</v>
      </c>
      <c r="M309" s="3" t="s">
        <v>1249</v>
      </c>
      <c r="N309" s="3" t="s">
        <v>1250</v>
      </c>
      <c r="O309" s="3" t="s">
        <v>1251</v>
      </c>
      <c r="P309" s="3"/>
      <c r="Q309" s="3"/>
      <c r="R309" s="3"/>
      <c r="S309" s="3"/>
      <c r="T309" s="3"/>
      <c r="U309" s="3"/>
      <c r="V309" s="3"/>
      <c r="W309" s="3"/>
      <c r="X309" s="3"/>
      <c r="Y309" s="3"/>
      <c r="Z309" s="3"/>
      <c r="AA309" s="3"/>
    </row>
    <row r="310" spans="1:27" ht="14.25" customHeight="1">
      <c r="A310" s="2">
        <v>46178</v>
      </c>
      <c r="B310" s="3" t="s">
        <v>1030</v>
      </c>
      <c r="C310" s="3" t="s">
        <v>1031</v>
      </c>
      <c r="D310" s="3" t="s">
        <v>1061</v>
      </c>
      <c r="E310" s="3" t="s">
        <v>1252</v>
      </c>
      <c r="F310" s="3"/>
      <c r="G310" s="3" t="s">
        <v>1034</v>
      </c>
      <c r="H310" s="3"/>
      <c r="I310" s="3" t="s">
        <v>20</v>
      </c>
      <c r="J310" s="3"/>
      <c r="K310" s="3" t="s">
        <v>21</v>
      </c>
      <c r="L310" s="3" t="s">
        <v>21</v>
      </c>
      <c r="M310" s="3" t="s">
        <v>1253</v>
      </c>
      <c r="N310" s="3" t="s">
        <v>1254</v>
      </c>
      <c r="O310" s="3" t="s">
        <v>1255</v>
      </c>
      <c r="P310" s="3" t="s">
        <v>30</v>
      </c>
      <c r="Q310" s="3"/>
      <c r="R310" s="3"/>
      <c r="S310" s="3"/>
      <c r="T310" s="3"/>
      <c r="U310" s="3"/>
      <c r="V310" s="3"/>
      <c r="W310" s="3"/>
      <c r="X310" s="3"/>
      <c r="Y310" s="3"/>
      <c r="Z310" s="3"/>
      <c r="AA310" s="3"/>
    </row>
    <row r="311" spans="1:27" ht="14.25" customHeight="1">
      <c r="A311" s="2">
        <v>46178</v>
      </c>
      <c r="B311" s="3" t="s">
        <v>72</v>
      </c>
      <c r="C311" s="3" t="s">
        <v>73</v>
      </c>
      <c r="D311" s="3" t="s">
        <v>72</v>
      </c>
      <c r="E311" s="3" t="s">
        <v>1256</v>
      </c>
      <c r="F311" s="3"/>
      <c r="G311" s="3" t="s">
        <v>19</v>
      </c>
      <c r="H311" s="3"/>
      <c r="I311" s="3" t="s">
        <v>45</v>
      </c>
      <c r="J311" s="3"/>
      <c r="K311" s="3" t="s">
        <v>28</v>
      </c>
      <c r="L311" s="3" t="s">
        <v>28</v>
      </c>
      <c r="M311" s="3" t="s">
        <v>1257</v>
      </c>
      <c r="N311" s="3" t="s">
        <v>1258</v>
      </c>
      <c r="O311" s="3" t="s">
        <v>226</v>
      </c>
      <c r="P311" s="3"/>
      <c r="Q311" s="3"/>
      <c r="R311" s="3"/>
      <c r="S311" s="3"/>
      <c r="T311" s="3"/>
      <c r="U311" s="3"/>
      <c r="V311" s="3"/>
      <c r="W311" s="3"/>
      <c r="X311" s="3"/>
      <c r="Y311" s="3"/>
      <c r="Z311" s="3"/>
      <c r="AA311" s="3"/>
    </row>
    <row r="312" spans="1:27" ht="14.25" customHeight="1">
      <c r="A312" s="2">
        <v>46178</v>
      </c>
      <c r="B312" s="3" t="s">
        <v>1030</v>
      </c>
      <c r="C312" s="3" t="s">
        <v>1031</v>
      </c>
      <c r="D312" s="3" t="s">
        <v>1032</v>
      </c>
      <c r="E312" s="3" t="s">
        <v>1259</v>
      </c>
      <c r="F312" s="3"/>
      <c r="G312" s="3" t="s">
        <v>1034</v>
      </c>
      <c r="H312" s="3"/>
      <c r="I312" s="3" t="s">
        <v>45</v>
      </c>
      <c r="J312" s="3"/>
      <c r="K312" s="3" t="s">
        <v>21</v>
      </c>
      <c r="L312" s="3" t="s">
        <v>21</v>
      </c>
      <c r="M312" s="3" t="s">
        <v>1260</v>
      </c>
      <c r="N312" s="3" t="s">
        <v>1261</v>
      </c>
      <c r="O312" s="3" t="s">
        <v>1262</v>
      </c>
      <c r="P312" s="3" t="s">
        <v>1263</v>
      </c>
      <c r="Q312" s="3"/>
      <c r="R312" s="3"/>
      <c r="S312" s="3"/>
      <c r="T312" s="3"/>
      <c r="U312" s="3"/>
      <c r="V312" s="3"/>
      <c r="W312" s="3"/>
      <c r="X312" s="3"/>
      <c r="Y312" s="3"/>
      <c r="Z312" s="3"/>
      <c r="AA312" s="3"/>
    </row>
    <row r="313" spans="1:27" ht="14.25" customHeight="1">
      <c r="A313" s="2">
        <v>46178</v>
      </c>
      <c r="B313" s="3" t="s">
        <v>81</v>
      </c>
      <c r="C313" s="3" t="s">
        <v>82</v>
      </c>
      <c r="D313" s="3" t="s">
        <v>95</v>
      </c>
      <c r="E313" s="3" t="s">
        <v>200</v>
      </c>
      <c r="F313" s="3"/>
      <c r="G313" s="3" t="s">
        <v>19</v>
      </c>
      <c r="H313" s="3"/>
      <c r="I313" s="3" t="s">
        <v>20</v>
      </c>
      <c r="J313" s="3"/>
      <c r="K313" s="3" t="s">
        <v>21</v>
      </c>
      <c r="L313" s="3" t="s">
        <v>21</v>
      </c>
      <c r="M313" s="3" t="s">
        <v>1264</v>
      </c>
      <c r="N313" s="3" t="s">
        <v>202</v>
      </c>
      <c r="O313" s="3" t="s">
        <v>1265</v>
      </c>
      <c r="P313" s="3" t="s">
        <v>30</v>
      </c>
      <c r="Q313" s="3"/>
      <c r="R313" s="3"/>
      <c r="S313" s="3"/>
      <c r="T313" s="3"/>
      <c r="U313" s="3"/>
      <c r="V313" s="3"/>
      <c r="W313" s="3"/>
      <c r="X313" s="3"/>
      <c r="Y313" s="3"/>
      <c r="Z313" s="3"/>
      <c r="AA313" s="3"/>
    </row>
    <row r="314" spans="1:27" ht="14.25" customHeight="1">
      <c r="A314" s="2">
        <v>46178</v>
      </c>
      <c r="B314" s="3" t="s">
        <v>81</v>
      </c>
      <c r="C314" s="3" t="s">
        <v>50</v>
      </c>
      <c r="D314" s="3" t="s">
        <v>196</v>
      </c>
      <c r="E314" s="3" t="s">
        <v>1266</v>
      </c>
      <c r="F314" s="3"/>
      <c r="G314" s="3" t="s">
        <v>107</v>
      </c>
      <c r="H314" s="3"/>
      <c r="I314" s="3" t="s">
        <v>20</v>
      </c>
      <c r="J314" s="3"/>
      <c r="K314" s="3" t="s">
        <v>28</v>
      </c>
      <c r="L314" s="3" t="s">
        <v>28</v>
      </c>
      <c r="M314" s="3" t="s">
        <v>1267</v>
      </c>
      <c r="N314" s="3" t="s">
        <v>1268</v>
      </c>
      <c r="O314" s="3" t="s">
        <v>1269</v>
      </c>
      <c r="P314" s="3" t="s">
        <v>1270</v>
      </c>
      <c r="Q314" s="3"/>
      <c r="R314" s="3"/>
      <c r="S314" s="3"/>
      <c r="T314" s="3"/>
      <c r="U314" s="3"/>
      <c r="V314" s="3"/>
      <c r="W314" s="3"/>
      <c r="X314" s="3"/>
      <c r="Y314" s="3"/>
      <c r="Z314" s="3"/>
      <c r="AA314" s="3"/>
    </row>
    <row r="315" spans="1:27" ht="14.25" customHeight="1">
      <c r="A315" s="2">
        <v>46178</v>
      </c>
      <c r="B315" s="3" t="s">
        <v>1030</v>
      </c>
      <c r="C315" s="3" t="s">
        <v>1031</v>
      </c>
      <c r="D315" s="3" t="s">
        <v>1032</v>
      </c>
      <c r="E315" s="3" t="s">
        <v>1259</v>
      </c>
      <c r="F315" s="3"/>
      <c r="G315" s="3" t="s">
        <v>1034</v>
      </c>
      <c r="H315" s="3"/>
      <c r="I315" s="3" t="s">
        <v>20</v>
      </c>
      <c r="J315" s="3"/>
      <c r="K315" s="3" t="s">
        <v>21</v>
      </c>
      <c r="L315" s="3" t="s">
        <v>186</v>
      </c>
      <c r="M315" s="3" t="s">
        <v>280</v>
      </c>
      <c r="N315" s="3" t="s">
        <v>1271</v>
      </c>
      <c r="O315" s="3" t="s">
        <v>123</v>
      </c>
      <c r="P315" s="3" t="s">
        <v>1263</v>
      </c>
      <c r="Q315" s="3"/>
      <c r="R315" s="3"/>
      <c r="S315" s="3"/>
      <c r="T315" s="3"/>
      <c r="U315" s="3"/>
      <c r="V315" s="3"/>
      <c r="W315" s="3"/>
      <c r="X315" s="3"/>
      <c r="Y315" s="3"/>
      <c r="Z315" s="3"/>
      <c r="AA315" s="3"/>
    </row>
    <row r="316" spans="1:27" ht="14.25" customHeight="1">
      <c r="A316" s="2">
        <v>46178</v>
      </c>
      <c r="B316" s="3" t="s">
        <v>81</v>
      </c>
      <c r="C316" s="3" t="s">
        <v>50</v>
      </c>
      <c r="D316" s="3" t="s">
        <v>196</v>
      </c>
      <c r="E316" s="3" t="s">
        <v>1272</v>
      </c>
      <c r="F316" s="3"/>
      <c r="G316" s="3" t="s">
        <v>19</v>
      </c>
      <c r="H316" s="3"/>
      <c r="I316" s="3" t="s">
        <v>20</v>
      </c>
      <c r="J316" s="3"/>
      <c r="K316" s="3" t="s">
        <v>21</v>
      </c>
      <c r="L316" s="3" t="s">
        <v>28</v>
      </c>
      <c r="M316" s="3" t="s">
        <v>1273</v>
      </c>
      <c r="N316" s="3" t="s">
        <v>1274</v>
      </c>
      <c r="O316" s="3" t="s">
        <v>1275</v>
      </c>
      <c r="P316" s="3" t="s">
        <v>1276</v>
      </c>
      <c r="Q316" s="3"/>
      <c r="R316" s="3"/>
      <c r="S316" s="3"/>
      <c r="T316" s="3"/>
      <c r="U316" s="3"/>
      <c r="V316" s="3"/>
      <c r="W316" s="3"/>
      <c r="X316" s="3"/>
      <c r="Y316" s="3"/>
      <c r="Z316" s="3"/>
      <c r="AA316" s="3"/>
    </row>
    <row r="317" spans="1:27" ht="14.25" customHeight="1">
      <c r="A317" s="2">
        <v>46178</v>
      </c>
      <c r="B317" s="3" t="s">
        <v>15</v>
      </c>
      <c r="C317" s="3" t="s">
        <v>16</v>
      </c>
      <c r="D317" s="3" t="s">
        <v>105</v>
      </c>
      <c r="E317" s="3" t="s">
        <v>1277</v>
      </c>
      <c r="F317" s="3"/>
      <c r="G317" s="3" t="s">
        <v>19</v>
      </c>
      <c r="H317" s="3"/>
      <c r="I317" s="3" t="s">
        <v>20</v>
      </c>
      <c r="J317" s="3"/>
      <c r="K317" s="3" t="s">
        <v>21</v>
      </c>
      <c r="L317" s="3" t="s">
        <v>21</v>
      </c>
      <c r="M317" s="3" t="s">
        <v>1278</v>
      </c>
      <c r="N317" s="3" t="s">
        <v>1279</v>
      </c>
      <c r="O317" s="3" t="s">
        <v>1279</v>
      </c>
      <c r="P317" s="3" t="s">
        <v>30</v>
      </c>
      <c r="Q317" s="3"/>
      <c r="R317" s="3"/>
      <c r="S317" s="3"/>
      <c r="T317" s="3"/>
      <c r="U317" s="3"/>
      <c r="V317" s="3"/>
      <c r="W317" s="3"/>
      <c r="X317" s="3"/>
      <c r="Y317" s="3"/>
      <c r="Z317" s="3"/>
      <c r="AA317" s="3"/>
    </row>
    <row r="318" spans="1:27" ht="14.25" customHeight="1">
      <c r="A318" s="2">
        <v>46178</v>
      </c>
      <c r="B318" s="3" t="s">
        <v>81</v>
      </c>
      <c r="C318" s="3" t="s">
        <v>82</v>
      </c>
      <c r="D318" s="3" t="s">
        <v>95</v>
      </c>
      <c r="E318" s="3" t="s">
        <v>1280</v>
      </c>
      <c r="F318" s="3"/>
      <c r="G318" s="3" t="s">
        <v>19</v>
      </c>
      <c r="H318" s="3"/>
      <c r="I318" s="3" t="s">
        <v>20</v>
      </c>
      <c r="J318" s="3"/>
      <c r="K318" s="3" t="s">
        <v>21</v>
      </c>
      <c r="L318" s="3" t="s">
        <v>21</v>
      </c>
      <c r="M318" s="3" t="s">
        <v>1281</v>
      </c>
      <c r="N318" s="3" t="s">
        <v>1282</v>
      </c>
      <c r="O318" s="3" t="s">
        <v>1283</v>
      </c>
      <c r="P318" s="3"/>
      <c r="Q318" s="3"/>
      <c r="R318" s="3"/>
      <c r="S318" s="3"/>
      <c r="T318" s="3"/>
      <c r="U318" s="3"/>
      <c r="V318" s="3"/>
      <c r="W318" s="3"/>
      <c r="X318" s="3"/>
      <c r="Y318" s="3"/>
      <c r="Z318" s="3"/>
      <c r="AA318" s="3"/>
    </row>
    <row r="319" spans="1:27" ht="14.25" customHeight="1">
      <c r="A319" s="2">
        <v>46178</v>
      </c>
      <c r="B319" s="3" t="s">
        <v>81</v>
      </c>
      <c r="C319" s="3" t="s">
        <v>50</v>
      </c>
      <c r="D319" s="3" t="s">
        <v>51</v>
      </c>
      <c r="E319" s="3" t="s">
        <v>1284</v>
      </c>
      <c r="F319" s="3"/>
      <c r="G319" s="3" t="s">
        <v>19</v>
      </c>
      <c r="H319" s="3"/>
      <c r="I319" s="3" t="s">
        <v>20</v>
      </c>
      <c r="J319" s="3"/>
      <c r="K319" s="3" t="s">
        <v>28</v>
      </c>
      <c r="L319" s="3" t="s">
        <v>28</v>
      </c>
      <c r="M319" s="3" t="s">
        <v>1285</v>
      </c>
      <c r="N319" s="3" t="s">
        <v>1286</v>
      </c>
      <c r="O319" s="3" t="s">
        <v>1287</v>
      </c>
      <c r="P319" s="3" t="s">
        <v>123</v>
      </c>
      <c r="Q319" s="3"/>
      <c r="R319" s="3"/>
      <c r="S319" s="3"/>
      <c r="T319" s="3"/>
      <c r="U319" s="3"/>
      <c r="V319" s="3"/>
      <c r="W319" s="3"/>
      <c r="X319" s="3"/>
      <c r="Y319" s="3"/>
      <c r="Z319" s="3"/>
      <c r="AA319" s="3"/>
    </row>
    <row r="320" spans="1:27" ht="14.25" customHeight="1">
      <c r="A320" s="2">
        <v>46178</v>
      </c>
      <c r="B320" s="3" t="s">
        <v>81</v>
      </c>
      <c r="C320" s="3" t="s">
        <v>50</v>
      </c>
      <c r="D320" s="3" t="s">
        <v>196</v>
      </c>
      <c r="E320" s="3" t="s">
        <v>1288</v>
      </c>
      <c r="F320" s="3"/>
      <c r="G320" s="3" t="s">
        <v>19</v>
      </c>
      <c r="H320" s="3"/>
      <c r="I320" s="3" t="s">
        <v>20</v>
      </c>
      <c r="J320" s="3"/>
      <c r="K320" s="3" t="s">
        <v>21</v>
      </c>
      <c r="L320" s="3" t="s">
        <v>21</v>
      </c>
      <c r="M320" s="3" t="s">
        <v>1289</v>
      </c>
      <c r="N320" s="3" t="s">
        <v>1290</v>
      </c>
      <c r="O320" s="3" t="s">
        <v>1291</v>
      </c>
      <c r="P320" s="3"/>
      <c r="Q320" s="3"/>
      <c r="R320" s="3"/>
      <c r="S320" s="3"/>
      <c r="T320" s="3"/>
      <c r="U320" s="3"/>
      <c r="V320" s="3"/>
      <c r="W320" s="3"/>
      <c r="X320" s="3"/>
      <c r="Y320" s="3"/>
      <c r="Z320" s="3"/>
      <c r="AA320" s="3"/>
    </row>
    <row r="321" spans="1:27" ht="14.25" customHeight="1">
      <c r="A321" s="2">
        <v>46178</v>
      </c>
      <c r="B321" s="3" t="s">
        <v>81</v>
      </c>
      <c r="C321" s="3" t="s">
        <v>50</v>
      </c>
      <c r="D321" s="3" t="s">
        <v>196</v>
      </c>
      <c r="E321" s="3" t="s">
        <v>1292</v>
      </c>
      <c r="F321" s="3"/>
      <c r="G321" s="3" t="s">
        <v>19</v>
      </c>
      <c r="H321" s="3"/>
      <c r="I321" s="3" t="s">
        <v>20</v>
      </c>
      <c r="J321" s="3"/>
      <c r="K321" s="3" t="s">
        <v>21</v>
      </c>
      <c r="L321" s="3" t="s">
        <v>21</v>
      </c>
      <c r="M321" s="3" t="s">
        <v>1293</v>
      </c>
      <c r="N321" s="3" t="s">
        <v>1294</v>
      </c>
      <c r="O321" s="3" t="s">
        <v>1295</v>
      </c>
      <c r="P321" s="3" t="s">
        <v>48</v>
      </c>
      <c r="Q321" s="3"/>
      <c r="R321" s="3"/>
      <c r="S321" s="3"/>
      <c r="T321" s="3"/>
      <c r="U321" s="3"/>
      <c r="V321" s="3"/>
      <c r="W321" s="3"/>
      <c r="X321" s="3"/>
      <c r="Y321" s="3"/>
      <c r="Z321" s="3"/>
      <c r="AA321" s="3"/>
    </row>
    <row r="322" spans="1:27" ht="14.25" customHeight="1">
      <c r="A322" s="2">
        <v>46178</v>
      </c>
      <c r="B322" s="3" t="s">
        <v>150</v>
      </c>
      <c r="C322" s="3" t="s">
        <v>151</v>
      </c>
      <c r="D322" s="3" t="s">
        <v>150</v>
      </c>
      <c r="E322" s="3" t="s">
        <v>1296</v>
      </c>
      <c r="F322" s="3"/>
      <c r="G322" s="3" t="s">
        <v>19</v>
      </c>
      <c r="H322" s="3"/>
      <c r="I322" s="3" t="s">
        <v>45</v>
      </c>
      <c r="J322" s="3"/>
      <c r="K322" s="3" t="s">
        <v>21</v>
      </c>
      <c r="L322" s="3" t="s">
        <v>21</v>
      </c>
      <c r="M322" s="3" t="s">
        <v>1297</v>
      </c>
      <c r="N322" s="3" t="s">
        <v>1298</v>
      </c>
      <c r="O322" s="3" t="s">
        <v>48</v>
      </c>
      <c r="P322" s="3" t="s">
        <v>48</v>
      </c>
      <c r="Q322" s="3"/>
      <c r="R322" s="3"/>
      <c r="S322" s="3"/>
      <c r="T322" s="3"/>
      <c r="U322" s="3"/>
      <c r="V322" s="3"/>
      <c r="W322" s="3"/>
      <c r="X322" s="3"/>
      <c r="Y322" s="3"/>
      <c r="Z322" s="3"/>
      <c r="AA322" s="3"/>
    </row>
    <row r="323" spans="1:27" ht="14.25" customHeight="1">
      <c r="A323" s="2">
        <v>46178</v>
      </c>
      <c r="B323" s="3" t="s">
        <v>15</v>
      </c>
      <c r="C323" s="3" t="s">
        <v>39</v>
      </c>
      <c r="D323" s="3" t="s">
        <v>15</v>
      </c>
      <c r="E323" s="3" t="s">
        <v>1299</v>
      </c>
      <c r="F323" s="3"/>
      <c r="G323" s="3" t="s">
        <v>107</v>
      </c>
      <c r="H323" s="3"/>
      <c r="I323" s="3" t="s">
        <v>20</v>
      </c>
      <c r="J323" s="3"/>
      <c r="K323" s="3" t="s">
        <v>28</v>
      </c>
      <c r="L323" s="3" t="s">
        <v>28</v>
      </c>
      <c r="M323" s="3" t="s">
        <v>1300</v>
      </c>
      <c r="N323" s="3" t="s">
        <v>1301</v>
      </c>
      <c r="O323" s="3" t="s">
        <v>1302</v>
      </c>
      <c r="P323" s="3" t="s">
        <v>30</v>
      </c>
      <c r="Q323" s="3"/>
      <c r="R323" s="3"/>
      <c r="S323" s="3"/>
      <c r="T323" s="3"/>
      <c r="U323" s="3"/>
      <c r="V323" s="3"/>
      <c r="W323" s="3"/>
      <c r="X323" s="3"/>
      <c r="Y323" s="3"/>
      <c r="Z323" s="3"/>
      <c r="AA323" s="3"/>
    </row>
    <row r="324" spans="1:27" ht="14.25" customHeight="1">
      <c r="A324" s="2">
        <v>46178</v>
      </c>
      <c r="B324" s="3" t="s">
        <v>1030</v>
      </c>
      <c r="C324" s="3" t="s">
        <v>1031</v>
      </c>
      <c r="D324" s="3" t="s">
        <v>1032</v>
      </c>
      <c r="E324" s="3" t="s">
        <v>1100</v>
      </c>
      <c r="F324" s="3"/>
      <c r="G324" s="3" t="s">
        <v>1034</v>
      </c>
      <c r="H324" s="3"/>
      <c r="I324" s="3" t="s">
        <v>20</v>
      </c>
      <c r="J324" s="3"/>
      <c r="K324" s="3" t="s">
        <v>21</v>
      </c>
      <c r="L324" s="3" t="s">
        <v>21</v>
      </c>
      <c r="M324" s="3" t="s">
        <v>1303</v>
      </c>
      <c r="N324" s="3" t="s">
        <v>1304</v>
      </c>
      <c r="O324" s="3" t="s">
        <v>1305</v>
      </c>
      <c r="P324" s="3" t="s">
        <v>1306</v>
      </c>
      <c r="Q324" s="3"/>
      <c r="R324" s="3"/>
      <c r="S324" s="3"/>
      <c r="T324" s="3"/>
      <c r="U324" s="3"/>
      <c r="V324" s="3"/>
      <c r="W324" s="3"/>
      <c r="X324" s="3"/>
      <c r="Y324" s="3"/>
      <c r="Z324" s="3"/>
      <c r="AA324" s="3"/>
    </row>
    <row r="325" spans="1:27" ht="14.25" customHeight="1">
      <c r="A325" s="2">
        <v>46178</v>
      </c>
      <c r="B325" s="3" t="s">
        <v>81</v>
      </c>
      <c r="C325" s="3" t="s">
        <v>50</v>
      </c>
      <c r="D325" s="3" t="s">
        <v>196</v>
      </c>
      <c r="E325" s="3" t="s">
        <v>1307</v>
      </c>
      <c r="F325" s="3"/>
      <c r="G325" s="3" t="s">
        <v>107</v>
      </c>
      <c r="H325" s="3"/>
      <c r="I325" s="3" t="s">
        <v>20</v>
      </c>
      <c r="J325" s="3"/>
      <c r="K325" s="3" t="s">
        <v>21</v>
      </c>
      <c r="L325" s="3" t="s">
        <v>21</v>
      </c>
      <c r="M325" s="3" t="s">
        <v>1308</v>
      </c>
      <c r="N325" s="3" t="s">
        <v>1309</v>
      </c>
      <c r="O325" s="3" t="s">
        <v>1310</v>
      </c>
      <c r="P325" s="3" t="s">
        <v>30</v>
      </c>
      <c r="Q325" s="3"/>
      <c r="R325" s="3"/>
      <c r="S325" s="3"/>
      <c r="T325" s="3"/>
      <c r="U325" s="3"/>
      <c r="V325" s="3"/>
      <c r="W325" s="3"/>
      <c r="X325" s="3"/>
      <c r="Y325" s="3"/>
      <c r="Z325" s="3"/>
      <c r="AA325" s="3"/>
    </row>
    <row r="326" spans="1:27" ht="14.25" customHeight="1">
      <c r="A326" s="2">
        <v>46178</v>
      </c>
      <c r="B326" s="3" t="s">
        <v>81</v>
      </c>
      <c r="C326" s="3" t="s">
        <v>82</v>
      </c>
      <c r="D326" s="3" t="s">
        <v>95</v>
      </c>
      <c r="E326" s="3" t="s">
        <v>1311</v>
      </c>
      <c r="F326" s="3"/>
      <c r="G326" s="3" t="s">
        <v>19</v>
      </c>
      <c r="H326" s="3"/>
      <c r="I326" s="3" t="s">
        <v>45</v>
      </c>
      <c r="J326" s="3"/>
      <c r="K326" s="3" t="s">
        <v>21</v>
      </c>
      <c r="L326" s="3" t="s">
        <v>186</v>
      </c>
      <c r="M326" s="3" t="s">
        <v>1312</v>
      </c>
      <c r="N326" s="3" t="s">
        <v>1313</v>
      </c>
      <c r="O326" s="3" t="s">
        <v>1314</v>
      </c>
      <c r="P326" s="3" t="s">
        <v>1315</v>
      </c>
      <c r="Q326" s="3"/>
      <c r="R326" s="3"/>
      <c r="S326" s="3"/>
      <c r="T326" s="3"/>
      <c r="U326" s="3"/>
      <c r="V326" s="3"/>
      <c r="W326" s="3"/>
      <c r="X326" s="3"/>
      <c r="Y326" s="3"/>
      <c r="Z326" s="3"/>
      <c r="AA326" s="3"/>
    </row>
    <row r="327" spans="1:27" ht="14.25" customHeight="1">
      <c r="A327" s="2">
        <v>46178</v>
      </c>
      <c r="B327" s="3" t="s">
        <v>1030</v>
      </c>
      <c r="C327" s="3" t="s">
        <v>1031</v>
      </c>
      <c r="D327" s="3" t="s">
        <v>1032</v>
      </c>
      <c r="E327" s="3" t="s">
        <v>1316</v>
      </c>
      <c r="F327" s="3"/>
      <c r="G327" s="3" t="s">
        <v>1034</v>
      </c>
      <c r="H327" s="3"/>
      <c r="I327" s="3" t="s">
        <v>20</v>
      </c>
      <c r="J327" s="3"/>
      <c r="K327" s="3" t="s">
        <v>28</v>
      </c>
      <c r="L327" s="3" t="s">
        <v>28</v>
      </c>
      <c r="M327" s="3" t="s">
        <v>1317</v>
      </c>
      <c r="N327" s="3" t="s">
        <v>1318</v>
      </c>
      <c r="O327" s="3" t="s">
        <v>1319</v>
      </c>
      <c r="P327" s="3" t="s">
        <v>123</v>
      </c>
      <c r="Q327" s="3"/>
      <c r="R327" s="3"/>
      <c r="S327" s="3"/>
      <c r="T327" s="3"/>
      <c r="U327" s="3"/>
      <c r="V327" s="3"/>
      <c r="W327" s="3"/>
      <c r="X327" s="3"/>
      <c r="Y327" s="3"/>
      <c r="Z327" s="3"/>
      <c r="AA327" s="3"/>
    </row>
    <row r="328" spans="1:27" ht="14.25" customHeight="1">
      <c r="A328" s="2">
        <v>46178</v>
      </c>
      <c r="B328" s="3" t="s">
        <v>15</v>
      </c>
      <c r="C328" s="3" t="s">
        <v>16</v>
      </c>
      <c r="D328" s="3" t="s">
        <v>17</v>
      </c>
      <c r="E328" s="3" t="s">
        <v>1320</v>
      </c>
      <c r="F328" s="3"/>
      <c r="G328" s="3" t="s">
        <v>19</v>
      </c>
      <c r="H328" s="3"/>
      <c r="I328" s="3" t="s">
        <v>45</v>
      </c>
      <c r="J328" s="3"/>
      <c r="K328" s="3" t="s">
        <v>28</v>
      </c>
      <c r="L328" s="3" t="s">
        <v>28</v>
      </c>
      <c r="M328" s="3" t="s">
        <v>1321</v>
      </c>
      <c r="N328" s="3" t="s">
        <v>48</v>
      </c>
      <c r="O328" s="3" t="s">
        <v>48</v>
      </c>
      <c r="P328" s="3" t="s">
        <v>48</v>
      </c>
      <c r="Q328" s="3"/>
      <c r="R328" s="3"/>
      <c r="S328" s="3"/>
      <c r="T328" s="3"/>
      <c r="U328" s="3"/>
      <c r="V328" s="3"/>
      <c r="W328" s="3"/>
      <c r="X328" s="3"/>
      <c r="Y328" s="3"/>
      <c r="Z328" s="3"/>
      <c r="AA328" s="3"/>
    </row>
    <row r="329" spans="1:27" ht="14.25" customHeight="1">
      <c r="A329" s="2">
        <v>46178</v>
      </c>
      <c r="B329" s="3" t="s">
        <v>81</v>
      </c>
      <c r="C329" s="3" t="s">
        <v>50</v>
      </c>
      <c r="D329" s="3" t="s">
        <v>51</v>
      </c>
      <c r="E329" s="3" t="s">
        <v>1322</v>
      </c>
      <c r="F329" s="3"/>
      <c r="G329" s="3" t="s">
        <v>19</v>
      </c>
      <c r="H329" s="3"/>
      <c r="I329" s="3" t="s">
        <v>20</v>
      </c>
      <c r="J329" s="3"/>
      <c r="K329" s="3" t="s">
        <v>21</v>
      </c>
      <c r="L329" s="3" t="s">
        <v>21</v>
      </c>
      <c r="M329" s="3" t="s">
        <v>1323</v>
      </c>
      <c r="N329" s="3" t="s">
        <v>1324</v>
      </c>
      <c r="O329" s="3" t="s">
        <v>1325</v>
      </c>
      <c r="P329" s="3" t="s">
        <v>300</v>
      </c>
      <c r="Q329" s="3"/>
      <c r="R329" s="3"/>
      <c r="S329" s="3"/>
      <c r="T329" s="3"/>
      <c r="U329" s="3"/>
      <c r="V329" s="3"/>
      <c r="W329" s="3"/>
      <c r="X329" s="3"/>
      <c r="Y329" s="3"/>
      <c r="Z329" s="3"/>
      <c r="AA329" s="3"/>
    </row>
    <row r="330" spans="1:27" ht="14.25" customHeight="1">
      <c r="A330" s="2">
        <v>46178</v>
      </c>
      <c r="B330" s="3" t="s">
        <v>15</v>
      </c>
      <c r="C330" s="3" t="s">
        <v>16</v>
      </c>
      <c r="D330" s="3" t="s">
        <v>1064</v>
      </c>
      <c r="E330" s="3" t="s">
        <v>1326</v>
      </c>
      <c r="F330" s="3"/>
      <c r="G330" s="3" t="s">
        <v>19</v>
      </c>
      <c r="H330" s="3"/>
      <c r="I330" s="3" t="s">
        <v>20</v>
      </c>
      <c r="J330" s="3"/>
      <c r="K330" s="3" t="s">
        <v>21</v>
      </c>
      <c r="L330" s="3" t="s">
        <v>21</v>
      </c>
      <c r="M330" s="3" t="s">
        <v>1327</v>
      </c>
      <c r="N330" s="3" t="s">
        <v>1328</v>
      </c>
      <c r="O330" s="3" t="s">
        <v>100</v>
      </c>
      <c r="P330" s="3"/>
      <c r="Q330" s="3"/>
      <c r="R330" s="3"/>
      <c r="S330" s="3"/>
      <c r="T330" s="3"/>
      <c r="U330" s="3"/>
      <c r="V330" s="3"/>
      <c r="W330" s="3"/>
      <c r="X330" s="3"/>
      <c r="Y330" s="3"/>
      <c r="Z330" s="3"/>
      <c r="AA330" s="3"/>
    </row>
    <row r="331" spans="1:27" ht="14.25" customHeight="1">
      <c r="A331" s="2">
        <v>46178</v>
      </c>
      <c r="B331" s="3" t="s">
        <v>960</v>
      </c>
      <c r="C331" s="3" t="s">
        <v>50</v>
      </c>
      <c r="D331" s="3" t="s">
        <v>919</v>
      </c>
      <c r="E331" s="3" t="s">
        <v>1329</v>
      </c>
      <c r="F331" s="3"/>
      <c r="G331" s="3" t="s">
        <v>19</v>
      </c>
      <c r="H331" s="3"/>
      <c r="I331" s="3" t="s">
        <v>20</v>
      </c>
      <c r="J331" s="3"/>
      <c r="K331" s="3" t="s">
        <v>21</v>
      </c>
      <c r="L331" s="3" t="s">
        <v>21</v>
      </c>
      <c r="M331" s="3" t="s">
        <v>1330</v>
      </c>
      <c r="N331" s="3" t="s">
        <v>1331</v>
      </c>
      <c r="O331" s="3" t="s">
        <v>1332</v>
      </c>
      <c r="P331" s="3"/>
      <c r="Q331" s="3"/>
      <c r="R331" s="3"/>
      <c r="S331" s="3"/>
      <c r="T331" s="3"/>
      <c r="U331" s="3"/>
      <c r="V331" s="3"/>
      <c r="W331" s="3"/>
      <c r="X331" s="3"/>
      <c r="Y331" s="3"/>
      <c r="Z331" s="3"/>
      <c r="AA331" s="3"/>
    </row>
    <row r="332" spans="1:27" ht="14.25" customHeight="1">
      <c r="A332" s="2">
        <v>46178</v>
      </c>
      <c r="B332" s="3" t="s">
        <v>1030</v>
      </c>
      <c r="C332" s="3" t="s">
        <v>1031</v>
      </c>
      <c r="D332" s="3" t="s">
        <v>1032</v>
      </c>
      <c r="E332" s="3" t="s">
        <v>1333</v>
      </c>
      <c r="F332" s="3"/>
      <c r="G332" s="3" t="s">
        <v>1034</v>
      </c>
      <c r="H332" s="3"/>
      <c r="I332" s="3" t="s">
        <v>20</v>
      </c>
      <c r="J332" s="3"/>
      <c r="K332" s="3" t="s">
        <v>21</v>
      </c>
      <c r="L332" s="3" t="s">
        <v>21</v>
      </c>
      <c r="M332" s="3" t="s">
        <v>1334</v>
      </c>
      <c r="N332" s="3" t="s">
        <v>1335</v>
      </c>
      <c r="O332" s="3" t="s">
        <v>1336</v>
      </c>
      <c r="P332" s="3" t="s">
        <v>30</v>
      </c>
      <c r="Q332" s="3"/>
      <c r="R332" s="3"/>
      <c r="S332" s="3"/>
      <c r="T332" s="3"/>
      <c r="U332" s="3"/>
      <c r="V332" s="3"/>
      <c r="W332" s="3"/>
      <c r="X332" s="3"/>
      <c r="Y332" s="3"/>
      <c r="Z332" s="3"/>
      <c r="AA332" s="3"/>
    </row>
    <row r="333" spans="1:27" ht="14.25" customHeight="1">
      <c r="A333" s="2">
        <v>46178</v>
      </c>
      <c r="B333" s="3" t="s">
        <v>81</v>
      </c>
      <c r="C333" s="3" t="s">
        <v>50</v>
      </c>
      <c r="D333" s="3" t="s">
        <v>196</v>
      </c>
      <c r="E333" s="3" t="s">
        <v>1337</v>
      </c>
      <c r="F333" s="3"/>
      <c r="G333" s="3" t="s">
        <v>19</v>
      </c>
      <c r="H333" s="3"/>
      <c r="I333" s="3" t="s">
        <v>20</v>
      </c>
      <c r="J333" s="3"/>
      <c r="K333" s="3" t="s">
        <v>21</v>
      </c>
      <c r="L333" s="3" t="s">
        <v>21</v>
      </c>
      <c r="M333" s="3" t="s">
        <v>1338</v>
      </c>
      <c r="N333" s="3" t="s">
        <v>1339</v>
      </c>
      <c r="O333" s="3" t="s">
        <v>1340</v>
      </c>
      <c r="P333" s="3" t="s">
        <v>300</v>
      </c>
      <c r="Q333" s="3"/>
      <c r="R333" s="3"/>
      <c r="S333" s="3"/>
      <c r="T333" s="3"/>
      <c r="U333" s="3"/>
      <c r="V333" s="3"/>
      <c r="W333" s="3"/>
      <c r="X333" s="3"/>
      <c r="Y333" s="3"/>
      <c r="Z333" s="3"/>
      <c r="AA333" s="3"/>
    </row>
    <row r="334" spans="1:27" ht="14.25" customHeight="1">
      <c r="A334" s="2">
        <v>46178</v>
      </c>
      <c r="B334" s="3" t="s">
        <v>15</v>
      </c>
      <c r="C334" s="3" t="s">
        <v>16</v>
      </c>
      <c r="D334" s="3" t="s">
        <v>105</v>
      </c>
      <c r="E334" s="3" t="s">
        <v>1341</v>
      </c>
      <c r="F334" s="3"/>
      <c r="G334" s="3" t="s">
        <v>19</v>
      </c>
      <c r="H334" s="3"/>
      <c r="I334" s="3" t="s">
        <v>20</v>
      </c>
      <c r="J334" s="3"/>
      <c r="K334" s="3" t="s">
        <v>21</v>
      </c>
      <c r="L334" s="3" t="s">
        <v>21</v>
      </c>
      <c r="M334" s="3" t="s">
        <v>1342</v>
      </c>
      <c r="N334" s="3" t="s">
        <v>30</v>
      </c>
      <c r="O334" s="3" t="s">
        <v>1343</v>
      </c>
      <c r="P334" s="3" t="s">
        <v>48</v>
      </c>
      <c r="Q334" s="3"/>
      <c r="R334" s="3"/>
      <c r="S334" s="3"/>
      <c r="T334" s="3"/>
      <c r="U334" s="3"/>
      <c r="V334" s="3"/>
      <c r="W334" s="3"/>
      <c r="X334" s="3"/>
      <c r="Y334" s="3"/>
      <c r="Z334" s="3"/>
      <c r="AA334" s="3"/>
    </row>
    <row r="335" spans="1:27" ht="14.25" customHeight="1">
      <c r="A335" s="2">
        <v>46178</v>
      </c>
      <c r="B335" s="3" t="s">
        <v>81</v>
      </c>
      <c r="C335" s="3" t="s">
        <v>50</v>
      </c>
      <c r="D335" s="3" t="s">
        <v>919</v>
      </c>
      <c r="E335" s="3" t="s">
        <v>1344</v>
      </c>
      <c r="F335" s="3"/>
      <c r="G335" s="3" t="s">
        <v>19</v>
      </c>
      <c r="H335" s="3"/>
      <c r="I335" s="3" t="s">
        <v>20</v>
      </c>
      <c r="J335" s="3"/>
      <c r="K335" s="3" t="s">
        <v>28</v>
      </c>
      <c r="L335" s="3" t="s">
        <v>28</v>
      </c>
      <c r="M335" s="3" t="s">
        <v>1345</v>
      </c>
      <c r="N335" s="3" t="s">
        <v>1346</v>
      </c>
      <c r="O335" s="3" t="s">
        <v>1347</v>
      </c>
      <c r="P335" s="3" t="s">
        <v>1348</v>
      </c>
      <c r="Q335" s="3"/>
      <c r="R335" s="3"/>
      <c r="S335" s="3"/>
      <c r="T335" s="3"/>
      <c r="U335" s="3"/>
      <c r="V335" s="3"/>
      <c r="W335" s="3"/>
      <c r="X335" s="3"/>
      <c r="Y335" s="3"/>
      <c r="Z335" s="3"/>
      <c r="AA335" s="3"/>
    </row>
    <row r="336" spans="1:27" ht="14.25" customHeight="1">
      <c r="A336" s="2">
        <v>46178</v>
      </c>
      <c r="B336" s="3" t="s">
        <v>81</v>
      </c>
      <c r="C336" s="3" t="s">
        <v>50</v>
      </c>
      <c r="D336" s="3" t="s">
        <v>919</v>
      </c>
      <c r="E336" s="3" t="s">
        <v>1349</v>
      </c>
      <c r="F336" s="3"/>
      <c r="G336" s="3" t="s">
        <v>19</v>
      </c>
      <c r="H336" s="3"/>
      <c r="I336" s="3" t="s">
        <v>20</v>
      </c>
      <c r="J336" s="3"/>
      <c r="K336" s="3" t="s">
        <v>21</v>
      </c>
      <c r="L336" s="3" t="s">
        <v>28</v>
      </c>
      <c r="M336" s="3" t="s">
        <v>1350</v>
      </c>
      <c r="N336" s="3" t="s">
        <v>1351</v>
      </c>
      <c r="O336" s="3" t="s">
        <v>1352</v>
      </c>
      <c r="P336" s="3" t="s">
        <v>30</v>
      </c>
      <c r="Q336" s="3"/>
      <c r="R336" s="3"/>
      <c r="S336" s="3"/>
      <c r="T336" s="3"/>
      <c r="U336" s="3"/>
      <c r="V336" s="3"/>
      <c r="W336" s="3"/>
      <c r="X336" s="3"/>
      <c r="Y336" s="3"/>
      <c r="Z336" s="3"/>
      <c r="AA336" s="3"/>
    </row>
    <row r="337" spans="1:27" ht="14.25" customHeight="1">
      <c r="A337" s="2">
        <v>46178</v>
      </c>
      <c r="B337" s="3" t="s">
        <v>81</v>
      </c>
      <c r="C337" s="3" t="s">
        <v>50</v>
      </c>
      <c r="D337" s="3" t="s">
        <v>919</v>
      </c>
      <c r="E337" s="3" t="s">
        <v>1353</v>
      </c>
      <c r="F337" s="3"/>
      <c r="G337" s="3" t="s">
        <v>19</v>
      </c>
      <c r="H337" s="3"/>
      <c r="I337" s="3" t="s">
        <v>45</v>
      </c>
      <c r="J337" s="3"/>
      <c r="K337" s="3" t="s">
        <v>21</v>
      </c>
      <c r="L337" s="3" t="s">
        <v>21</v>
      </c>
      <c r="M337" s="3" t="s">
        <v>1354</v>
      </c>
      <c r="N337" s="3" t="s">
        <v>1355</v>
      </c>
      <c r="O337" s="3" t="s">
        <v>1356</v>
      </c>
      <c r="P337" s="3" t="s">
        <v>30</v>
      </c>
      <c r="Q337" s="3"/>
      <c r="R337" s="3"/>
      <c r="S337" s="3"/>
      <c r="T337" s="3"/>
      <c r="U337" s="3"/>
      <c r="V337" s="3"/>
      <c r="W337" s="3"/>
      <c r="X337" s="3"/>
      <c r="Y337" s="3"/>
      <c r="Z337" s="3"/>
      <c r="AA337" s="3"/>
    </row>
    <row r="338" spans="1:27" ht="14.25" customHeight="1">
      <c r="A338" s="2">
        <v>46178</v>
      </c>
      <c r="B338" s="3" t="s">
        <v>1030</v>
      </c>
      <c r="C338" s="3" t="s">
        <v>1031</v>
      </c>
      <c r="D338" s="3" t="s">
        <v>1032</v>
      </c>
      <c r="E338" s="3" t="s">
        <v>1333</v>
      </c>
      <c r="F338" s="3"/>
      <c r="G338" s="3" t="s">
        <v>1034</v>
      </c>
      <c r="H338" s="3"/>
      <c r="I338" s="3" t="s">
        <v>20</v>
      </c>
      <c r="J338" s="3"/>
      <c r="K338" s="3" t="s">
        <v>21</v>
      </c>
      <c r="L338" s="3" t="s">
        <v>21</v>
      </c>
      <c r="M338" s="3" t="s">
        <v>1357</v>
      </c>
      <c r="N338" s="3" t="s">
        <v>1358</v>
      </c>
      <c r="O338" s="3" t="s">
        <v>1359</v>
      </c>
      <c r="P338" s="3" t="s">
        <v>30</v>
      </c>
      <c r="Q338" s="3"/>
      <c r="R338" s="3"/>
      <c r="S338" s="3"/>
      <c r="T338" s="3"/>
      <c r="U338" s="3"/>
      <c r="V338" s="3"/>
      <c r="W338" s="3"/>
      <c r="X338" s="3"/>
      <c r="Y338" s="3"/>
      <c r="Z338" s="3"/>
      <c r="AA338" s="3"/>
    </row>
    <row r="339" spans="1:27" ht="14.25" customHeight="1">
      <c r="A339" s="2">
        <v>46178</v>
      </c>
      <c r="B339" s="3" t="s">
        <v>81</v>
      </c>
      <c r="C339" s="3" t="s">
        <v>50</v>
      </c>
      <c r="D339" s="3" t="s">
        <v>196</v>
      </c>
      <c r="E339" s="3" t="s">
        <v>298</v>
      </c>
      <c r="F339" s="3"/>
      <c r="G339" s="3" t="s">
        <v>19</v>
      </c>
      <c r="H339" s="3"/>
      <c r="I339" s="3" t="s">
        <v>20</v>
      </c>
      <c r="J339" s="3"/>
      <c r="K339" s="3" t="s">
        <v>28</v>
      </c>
      <c r="L339" s="3" t="s">
        <v>28</v>
      </c>
      <c r="M339" s="3" t="s">
        <v>1360</v>
      </c>
      <c r="N339" s="3" t="s">
        <v>1282</v>
      </c>
      <c r="O339" s="3" t="s">
        <v>1282</v>
      </c>
      <c r="P339" s="3" t="s">
        <v>1282</v>
      </c>
      <c r="Q339" s="3"/>
      <c r="R339" s="3"/>
      <c r="S339" s="3"/>
      <c r="T339" s="3"/>
      <c r="U339" s="3"/>
      <c r="V339" s="3"/>
      <c r="W339" s="3"/>
      <c r="X339" s="3"/>
      <c r="Y339" s="3"/>
      <c r="Z339" s="3"/>
      <c r="AA339" s="3"/>
    </row>
    <row r="340" spans="1:27" ht="14.25" customHeight="1">
      <c r="A340" s="2">
        <v>46178</v>
      </c>
      <c r="B340" s="3" t="s">
        <v>81</v>
      </c>
      <c r="C340" s="3" t="s">
        <v>50</v>
      </c>
      <c r="D340" s="3" t="s">
        <v>51</v>
      </c>
      <c r="E340" s="3" t="s">
        <v>1361</v>
      </c>
      <c r="F340" s="3"/>
      <c r="G340" s="3" t="s">
        <v>19</v>
      </c>
      <c r="H340" s="3"/>
      <c r="I340" s="3" t="s">
        <v>45</v>
      </c>
      <c r="J340" s="3"/>
      <c r="K340" s="3" t="s">
        <v>21</v>
      </c>
      <c r="L340" s="3" t="s">
        <v>28</v>
      </c>
      <c r="M340" s="3" t="s">
        <v>1362</v>
      </c>
      <c r="N340" s="3" t="s">
        <v>30</v>
      </c>
      <c r="O340" s="3" t="s">
        <v>30</v>
      </c>
      <c r="P340" s="3"/>
      <c r="Q340" s="3"/>
      <c r="R340" s="3"/>
      <c r="S340" s="3"/>
      <c r="T340" s="3"/>
      <c r="U340" s="3"/>
      <c r="V340" s="3"/>
      <c r="W340" s="3"/>
      <c r="X340" s="3"/>
      <c r="Y340" s="3"/>
      <c r="Z340" s="3"/>
      <c r="AA340" s="3"/>
    </row>
    <row r="341" spans="1:27" ht="14.25" customHeight="1">
      <c r="A341" s="2">
        <v>46178</v>
      </c>
      <c r="B341" s="3" t="s">
        <v>15</v>
      </c>
      <c r="C341" s="3" t="s">
        <v>16</v>
      </c>
      <c r="D341" s="3" t="s">
        <v>105</v>
      </c>
      <c r="E341" s="3" t="s">
        <v>1363</v>
      </c>
      <c r="F341" s="3"/>
      <c r="G341" s="3" t="s">
        <v>107</v>
      </c>
      <c r="H341" s="3"/>
      <c r="I341" s="3" t="s">
        <v>20</v>
      </c>
      <c r="J341" s="3"/>
      <c r="K341" s="3" t="s">
        <v>21</v>
      </c>
      <c r="L341" s="3" t="s">
        <v>21</v>
      </c>
      <c r="M341" s="3" t="s">
        <v>1364</v>
      </c>
      <c r="N341" s="3" t="s">
        <v>1365</v>
      </c>
      <c r="O341" s="3" t="s">
        <v>1366</v>
      </c>
      <c r="P341" s="3" t="s">
        <v>1367</v>
      </c>
      <c r="Q341" s="3"/>
      <c r="R341" s="3"/>
      <c r="S341" s="3"/>
      <c r="T341" s="3"/>
      <c r="U341" s="3"/>
      <c r="V341" s="3"/>
      <c r="W341" s="3"/>
      <c r="X341" s="3"/>
      <c r="Y341" s="3"/>
      <c r="Z341" s="3"/>
      <c r="AA341" s="3"/>
    </row>
    <row r="342" spans="1:27" ht="14.25" customHeight="1">
      <c r="A342" s="2">
        <v>46178</v>
      </c>
      <c r="B342" s="3" t="s">
        <v>150</v>
      </c>
      <c r="C342" s="3" t="s">
        <v>151</v>
      </c>
      <c r="D342" s="3" t="s">
        <v>150</v>
      </c>
      <c r="E342" s="3" t="s">
        <v>1368</v>
      </c>
      <c r="F342" s="3"/>
      <c r="G342" s="3" t="s">
        <v>19</v>
      </c>
      <c r="H342" s="3"/>
      <c r="I342" s="3" t="s">
        <v>45</v>
      </c>
      <c r="J342" s="3"/>
      <c r="K342" s="3" t="s">
        <v>21</v>
      </c>
      <c r="L342" s="3" t="s">
        <v>28</v>
      </c>
      <c r="M342" s="3" t="s">
        <v>1369</v>
      </c>
      <c r="N342" s="3" t="s">
        <v>48</v>
      </c>
      <c r="O342" s="3" t="s">
        <v>48</v>
      </c>
      <c r="P342" s="3" t="s">
        <v>48</v>
      </c>
      <c r="Q342" s="3"/>
      <c r="R342" s="3"/>
      <c r="S342" s="3"/>
      <c r="T342" s="3"/>
      <c r="U342" s="3"/>
      <c r="V342" s="3"/>
      <c r="W342" s="3"/>
      <c r="X342" s="3"/>
      <c r="Y342" s="3"/>
      <c r="Z342" s="3"/>
      <c r="AA342" s="3"/>
    </row>
    <row r="343" spans="1:27" ht="14.25" customHeight="1">
      <c r="A343" s="2">
        <v>46178</v>
      </c>
      <c r="B343" s="3" t="s">
        <v>1073</v>
      </c>
      <c r="C343" s="3" t="s">
        <v>1074</v>
      </c>
      <c r="D343" s="3" t="s">
        <v>1075</v>
      </c>
      <c r="E343" s="3" t="s">
        <v>1370</v>
      </c>
      <c r="F343" s="3"/>
      <c r="G343" s="3" t="s">
        <v>981</v>
      </c>
      <c r="H343" s="3"/>
      <c r="I343" s="3" t="s">
        <v>20</v>
      </c>
      <c r="J343" s="3"/>
      <c r="K343" s="3" t="s">
        <v>21</v>
      </c>
      <c r="L343" s="3" t="s">
        <v>21</v>
      </c>
      <c r="M343" s="3" t="s">
        <v>1371</v>
      </c>
      <c r="N343" s="3" t="s">
        <v>1372</v>
      </c>
      <c r="O343" s="3" t="s">
        <v>1373</v>
      </c>
      <c r="P343" s="3"/>
      <c r="Q343" s="3"/>
      <c r="R343" s="3"/>
      <c r="S343" s="3"/>
      <c r="T343" s="3"/>
      <c r="U343" s="3"/>
      <c r="V343" s="3"/>
      <c r="W343" s="3"/>
      <c r="X343" s="3"/>
      <c r="Y343" s="3"/>
      <c r="Z343" s="3"/>
      <c r="AA343" s="3"/>
    </row>
    <row r="344" spans="1:27" ht="14.25" customHeight="1">
      <c r="A344" s="2">
        <v>46178</v>
      </c>
      <c r="B344" s="3" t="s">
        <v>81</v>
      </c>
      <c r="C344" s="3" t="s">
        <v>50</v>
      </c>
      <c r="D344" s="3" t="s">
        <v>51</v>
      </c>
      <c r="E344" s="3" t="s">
        <v>1374</v>
      </c>
      <c r="F344" s="3"/>
      <c r="G344" s="3" t="s">
        <v>19</v>
      </c>
      <c r="H344" s="3"/>
      <c r="I344" s="3" t="s">
        <v>45</v>
      </c>
      <c r="J344" s="3"/>
      <c r="K344" s="3" t="s">
        <v>28</v>
      </c>
      <c r="L344" s="3" t="s">
        <v>28</v>
      </c>
      <c r="M344" s="3" t="s">
        <v>1375</v>
      </c>
      <c r="N344" s="3" t="s">
        <v>1376</v>
      </c>
      <c r="O344" s="3" t="s">
        <v>1377</v>
      </c>
      <c r="P344" s="3" t="s">
        <v>1378</v>
      </c>
      <c r="Q344" s="3"/>
      <c r="R344" s="3"/>
      <c r="S344" s="3"/>
      <c r="T344" s="3"/>
      <c r="U344" s="3"/>
      <c r="V344" s="3"/>
      <c r="W344" s="3"/>
      <c r="X344" s="3"/>
      <c r="Y344" s="3"/>
      <c r="Z344" s="3"/>
      <c r="AA344" s="3"/>
    </row>
    <row r="345" spans="1:27" ht="14.25" customHeight="1">
      <c r="A345" s="2">
        <v>46178</v>
      </c>
      <c r="B345" s="3" t="s">
        <v>15</v>
      </c>
      <c r="C345" s="3" t="s">
        <v>16</v>
      </c>
      <c r="D345" s="3" t="s">
        <v>17</v>
      </c>
      <c r="E345" s="3" t="s">
        <v>1379</v>
      </c>
      <c r="F345" s="3"/>
      <c r="G345" s="3" t="s">
        <v>107</v>
      </c>
      <c r="H345" s="3"/>
      <c r="I345" s="3" t="s">
        <v>20</v>
      </c>
      <c r="J345" s="3"/>
      <c r="K345" s="3" t="s">
        <v>21</v>
      </c>
      <c r="L345" s="3" t="s">
        <v>21</v>
      </c>
      <c r="M345" s="3" t="s">
        <v>1380</v>
      </c>
      <c r="N345" s="3" t="s">
        <v>1381</v>
      </c>
      <c r="O345" s="3" t="s">
        <v>1382</v>
      </c>
      <c r="P345" s="3" t="s">
        <v>30</v>
      </c>
      <c r="Q345" s="3"/>
      <c r="R345" s="3"/>
      <c r="S345" s="3"/>
      <c r="T345" s="3"/>
      <c r="U345" s="3"/>
      <c r="V345" s="3"/>
      <c r="W345" s="3"/>
      <c r="X345" s="3"/>
      <c r="Y345" s="3"/>
      <c r="Z345" s="3"/>
      <c r="AA345" s="3"/>
    </row>
    <row r="346" spans="1:27" ht="14.25" customHeight="1">
      <c r="A346" s="2">
        <v>46178</v>
      </c>
      <c r="B346" s="3" t="s">
        <v>81</v>
      </c>
      <c r="C346" s="3" t="s">
        <v>82</v>
      </c>
      <c r="D346" s="3" t="s">
        <v>475</v>
      </c>
      <c r="E346" s="3" t="s">
        <v>1383</v>
      </c>
      <c r="F346" s="3"/>
      <c r="G346" s="3" t="s">
        <v>19</v>
      </c>
      <c r="H346" s="3"/>
      <c r="I346" s="3" t="s">
        <v>20</v>
      </c>
      <c r="J346" s="3"/>
      <c r="K346" s="3" t="s">
        <v>28</v>
      </c>
      <c r="L346" s="3" t="s">
        <v>21</v>
      </c>
      <c r="M346" s="3" t="s">
        <v>1384</v>
      </c>
      <c r="N346" s="3" t="s">
        <v>1385</v>
      </c>
      <c r="O346" s="3" t="s">
        <v>1386</v>
      </c>
      <c r="P346" s="3"/>
      <c r="Q346" s="3"/>
      <c r="R346" s="3"/>
      <c r="S346" s="3"/>
      <c r="T346" s="3"/>
      <c r="U346" s="3"/>
      <c r="V346" s="3"/>
      <c r="W346" s="3"/>
      <c r="X346" s="3"/>
      <c r="Y346" s="3"/>
      <c r="Z346" s="3"/>
      <c r="AA346" s="3"/>
    </row>
    <row r="347" spans="1:27" ht="14.25" customHeight="1">
      <c r="A347" s="2">
        <v>46178</v>
      </c>
      <c r="B347" s="3" t="s">
        <v>1030</v>
      </c>
      <c r="C347" s="3" t="s">
        <v>1031</v>
      </c>
      <c r="D347" s="3" t="s">
        <v>1032</v>
      </c>
      <c r="E347" s="3" t="s">
        <v>1387</v>
      </c>
      <c r="F347" s="3"/>
      <c r="G347" s="3" t="s">
        <v>981</v>
      </c>
      <c r="H347" s="3"/>
      <c r="I347" s="3" t="s">
        <v>20</v>
      </c>
      <c r="J347" s="3"/>
      <c r="K347" s="3" t="s">
        <v>21</v>
      </c>
      <c r="L347" s="3" t="s">
        <v>28</v>
      </c>
      <c r="M347" s="3" t="s">
        <v>1388</v>
      </c>
      <c r="N347" s="3" t="s">
        <v>724</v>
      </c>
      <c r="O347" s="3" t="s">
        <v>1389</v>
      </c>
      <c r="P347" s="3" t="s">
        <v>30</v>
      </c>
      <c r="Q347" s="3"/>
      <c r="R347" s="3"/>
      <c r="S347" s="3"/>
      <c r="T347" s="3"/>
      <c r="U347" s="3"/>
      <c r="V347" s="3"/>
      <c r="W347" s="3"/>
      <c r="X347" s="3"/>
      <c r="Y347" s="3"/>
      <c r="Z347" s="3"/>
      <c r="AA347" s="3"/>
    </row>
    <row r="348" spans="1:27" ht="14.25" customHeight="1">
      <c r="A348" s="2">
        <v>46178</v>
      </c>
      <c r="B348" s="3" t="s">
        <v>72</v>
      </c>
      <c r="C348" s="3" t="s">
        <v>73</v>
      </c>
      <c r="D348" s="3" t="s">
        <v>72</v>
      </c>
      <c r="E348" s="3" t="s">
        <v>1390</v>
      </c>
      <c r="F348" s="3"/>
      <c r="G348" s="3" t="s">
        <v>19</v>
      </c>
      <c r="H348" s="3"/>
      <c r="I348" s="3" t="s">
        <v>45</v>
      </c>
      <c r="J348" s="3"/>
      <c r="K348" s="3" t="s">
        <v>21</v>
      </c>
      <c r="L348" s="3" t="s">
        <v>21</v>
      </c>
      <c r="M348" s="3" t="s">
        <v>1391</v>
      </c>
      <c r="N348" s="3" t="s">
        <v>1392</v>
      </c>
      <c r="O348" s="3" t="s">
        <v>1393</v>
      </c>
      <c r="P348" s="3" t="s">
        <v>1394</v>
      </c>
      <c r="Q348" s="3"/>
      <c r="R348" s="3"/>
      <c r="S348" s="3"/>
      <c r="T348" s="3"/>
      <c r="U348" s="3"/>
      <c r="V348" s="3"/>
      <c r="W348" s="3"/>
      <c r="X348" s="3"/>
      <c r="Y348" s="3"/>
      <c r="Z348" s="3"/>
      <c r="AA348" s="3"/>
    </row>
    <row r="349" spans="1:27" ht="14.25" customHeight="1">
      <c r="A349" s="2">
        <v>46178</v>
      </c>
      <c r="B349" s="3" t="s">
        <v>81</v>
      </c>
      <c r="C349" s="3" t="s">
        <v>50</v>
      </c>
      <c r="D349" s="3" t="s">
        <v>196</v>
      </c>
      <c r="E349" s="3" t="s">
        <v>1395</v>
      </c>
      <c r="F349" s="3"/>
      <c r="G349" s="3" t="s">
        <v>19</v>
      </c>
      <c r="H349" s="3"/>
      <c r="I349" s="3" t="s">
        <v>20</v>
      </c>
      <c r="J349" s="3"/>
      <c r="K349" s="3" t="s">
        <v>21</v>
      </c>
      <c r="L349" s="3" t="s">
        <v>28</v>
      </c>
      <c r="M349" s="3" t="s">
        <v>1396</v>
      </c>
      <c r="N349" s="3" t="s">
        <v>1397</v>
      </c>
      <c r="O349" s="3" t="s">
        <v>1398</v>
      </c>
      <c r="P349" s="3"/>
      <c r="Q349" s="3"/>
      <c r="R349" s="3"/>
      <c r="S349" s="3"/>
      <c r="T349" s="3"/>
      <c r="U349" s="3"/>
      <c r="V349" s="3"/>
      <c r="W349" s="3"/>
      <c r="X349" s="3"/>
      <c r="Y349" s="3"/>
      <c r="Z349" s="3"/>
      <c r="AA349" s="3"/>
    </row>
    <row r="350" spans="1:27" ht="14.25" customHeight="1">
      <c r="A350" s="2">
        <v>46178</v>
      </c>
      <c r="B350" s="3" t="s">
        <v>15</v>
      </c>
      <c r="C350" s="3" t="s">
        <v>16</v>
      </c>
      <c r="D350" s="3" t="s">
        <v>105</v>
      </c>
      <c r="E350" s="3" t="s">
        <v>1399</v>
      </c>
      <c r="F350" s="3"/>
      <c r="G350" s="3" t="s">
        <v>107</v>
      </c>
      <c r="H350" s="3"/>
      <c r="I350" s="3" t="s">
        <v>20</v>
      </c>
      <c r="J350" s="3"/>
      <c r="K350" s="3" t="s">
        <v>28</v>
      </c>
      <c r="L350" s="3" t="s">
        <v>21</v>
      </c>
      <c r="M350" s="3" t="s">
        <v>1400</v>
      </c>
      <c r="N350" s="3" t="s">
        <v>1401</v>
      </c>
      <c r="O350" s="3" t="s">
        <v>100</v>
      </c>
      <c r="P350" s="3" t="s">
        <v>30</v>
      </c>
      <c r="Q350" s="3"/>
      <c r="R350" s="3"/>
      <c r="S350" s="3"/>
      <c r="T350" s="3"/>
      <c r="U350" s="3"/>
      <c r="V350" s="3"/>
      <c r="W350" s="3"/>
      <c r="X350" s="3"/>
      <c r="Y350" s="3"/>
      <c r="Z350" s="3"/>
      <c r="AA350" s="3"/>
    </row>
    <row r="351" spans="1:27" ht="14.25" customHeight="1">
      <c r="A351" s="2">
        <v>46178</v>
      </c>
      <c r="B351" s="3" t="s">
        <v>1030</v>
      </c>
      <c r="C351" s="3" t="s">
        <v>1031</v>
      </c>
      <c r="D351" s="3" t="s">
        <v>1032</v>
      </c>
      <c r="E351" s="3" t="s">
        <v>1402</v>
      </c>
      <c r="F351" s="3"/>
      <c r="G351" s="3" t="s">
        <v>1034</v>
      </c>
      <c r="H351" s="3"/>
      <c r="I351" s="3" t="s">
        <v>20</v>
      </c>
      <c r="J351" s="3"/>
      <c r="K351" s="3" t="s">
        <v>21</v>
      </c>
      <c r="L351" s="3" t="s">
        <v>21</v>
      </c>
      <c r="M351" s="3" t="s">
        <v>1403</v>
      </c>
      <c r="N351" s="3" t="s">
        <v>1404</v>
      </c>
      <c r="O351" s="3" t="s">
        <v>1405</v>
      </c>
      <c r="P351" s="3" t="s">
        <v>30</v>
      </c>
      <c r="Q351" s="3"/>
      <c r="R351" s="3"/>
      <c r="S351" s="3"/>
      <c r="T351" s="3"/>
      <c r="U351" s="3"/>
      <c r="V351" s="3"/>
      <c r="W351" s="3"/>
      <c r="X351" s="3"/>
      <c r="Y351" s="3"/>
      <c r="Z351" s="3"/>
      <c r="AA351" s="3"/>
    </row>
    <row r="352" spans="1:27" ht="14.25" customHeight="1">
      <c r="A352" s="2">
        <v>46178</v>
      </c>
      <c r="B352" s="3" t="s">
        <v>81</v>
      </c>
      <c r="C352" s="3" t="s">
        <v>50</v>
      </c>
      <c r="D352" s="3" t="s">
        <v>136</v>
      </c>
      <c r="E352" s="3" t="s">
        <v>1406</v>
      </c>
      <c r="F352" s="3"/>
      <c r="G352" s="3" t="s">
        <v>19</v>
      </c>
      <c r="H352" s="3"/>
      <c r="I352" s="3" t="s">
        <v>20</v>
      </c>
      <c r="J352" s="3"/>
      <c r="K352" s="3" t="s">
        <v>21</v>
      </c>
      <c r="L352" s="3" t="s">
        <v>21</v>
      </c>
      <c r="M352" s="3" t="s">
        <v>1407</v>
      </c>
      <c r="N352" s="3" t="s">
        <v>1408</v>
      </c>
      <c r="O352" s="3" t="s">
        <v>30</v>
      </c>
      <c r="P352" s="3"/>
      <c r="Q352" s="3"/>
      <c r="R352" s="3"/>
      <c r="S352" s="3"/>
      <c r="T352" s="3"/>
      <c r="U352" s="3"/>
      <c r="V352" s="3"/>
      <c r="W352" s="3"/>
      <c r="X352" s="3"/>
      <c r="Y352" s="3"/>
      <c r="Z352" s="3"/>
      <c r="AA352" s="3"/>
    </row>
    <row r="353" spans="1:27" ht="14.25" customHeight="1">
      <c r="A353" s="2">
        <v>46178</v>
      </c>
      <c r="B353" s="3" t="s">
        <v>111</v>
      </c>
      <c r="C353" s="3" t="s">
        <v>112</v>
      </c>
      <c r="D353" s="3" t="s">
        <v>113</v>
      </c>
      <c r="E353" s="3" t="s">
        <v>1409</v>
      </c>
      <c r="F353" s="3"/>
      <c r="G353" s="3" t="s">
        <v>19</v>
      </c>
      <c r="H353" s="3"/>
      <c r="I353" s="3" t="s">
        <v>20</v>
      </c>
      <c r="J353" s="3"/>
      <c r="K353" s="3" t="s">
        <v>28</v>
      </c>
      <c r="L353" s="3" t="s">
        <v>28</v>
      </c>
      <c r="M353" s="3" t="s">
        <v>1410</v>
      </c>
      <c r="N353" s="3" t="s">
        <v>1411</v>
      </c>
      <c r="O353" s="3" t="s">
        <v>1412</v>
      </c>
      <c r="P353" s="3" t="s">
        <v>30</v>
      </c>
      <c r="Q353" s="3"/>
      <c r="R353" s="3"/>
      <c r="S353" s="3"/>
      <c r="T353" s="3"/>
      <c r="U353" s="3"/>
      <c r="V353" s="3"/>
      <c r="W353" s="3"/>
      <c r="X353" s="3"/>
      <c r="Y353" s="3"/>
      <c r="Z353" s="3"/>
      <c r="AA353" s="3"/>
    </row>
    <row r="354" spans="1:27" ht="14.25" customHeight="1">
      <c r="A354" s="2">
        <v>46178</v>
      </c>
      <c r="B354" s="3" t="s">
        <v>15</v>
      </c>
      <c r="C354" s="3" t="s">
        <v>16</v>
      </c>
      <c r="D354" s="3" t="s">
        <v>1064</v>
      </c>
      <c r="E354" s="3" t="s">
        <v>1413</v>
      </c>
      <c r="F354" s="3"/>
      <c r="G354" s="3" t="s">
        <v>19</v>
      </c>
      <c r="H354" s="3"/>
      <c r="I354" s="3" t="s">
        <v>20</v>
      </c>
      <c r="J354" s="3"/>
      <c r="K354" s="3" t="s">
        <v>21</v>
      </c>
      <c r="L354" s="3" t="s">
        <v>21</v>
      </c>
      <c r="M354" s="3" t="s">
        <v>1414</v>
      </c>
      <c r="N354" s="3" t="s">
        <v>1415</v>
      </c>
      <c r="O354" s="3" t="s">
        <v>1416</v>
      </c>
      <c r="P354" s="3" t="s">
        <v>30</v>
      </c>
      <c r="Q354" s="3"/>
      <c r="R354" s="3"/>
      <c r="S354" s="3"/>
      <c r="T354" s="3"/>
      <c r="U354" s="3"/>
      <c r="V354" s="3"/>
      <c r="W354" s="3"/>
      <c r="X354" s="3"/>
      <c r="Y354" s="3"/>
      <c r="Z354" s="3"/>
      <c r="AA354" s="3"/>
    </row>
    <row r="355" spans="1:27" ht="14.25" customHeight="1">
      <c r="A355" s="2">
        <v>46178</v>
      </c>
      <c r="B355" s="3" t="s">
        <v>81</v>
      </c>
      <c r="C355" s="3" t="s">
        <v>82</v>
      </c>
      <c r="D355" s="3" t="s">
        <v>475</v>
      </c>
      <c r="E355" s="3" t="s">
        <v>1417</v>
      </c>
      <c r="F355" s="3"/>
      <c r="G355" s="3" t="s">
        <v>19</v>
      </c>
      <c r="H355" s="3"/>
      <c r="I355" s="3" t="s">
        <v>20</v>
      </c>
      <c r="J355" s="3"/>
      <c r="K355" s="3" t="s">
        <v>28</v>
      </c>
      <c r="L355" s="3" t="s">
        <v>28</v>
      </c>
      <c r="M355" s="3" t="s">
        <v>1418</v>
      </c>
      <c r="N355" s="3" t="s">
        <v>1419</v>
      </c>
      <c r="O355" s="3" t="s">
        <v>1420</v>
      </c>
      <c r="P355" s="3" t="s">
        <v>1421</v>
      </c>
      <c r="Q355" s="3"/>
      <c r="R355" s="3"/>
      <c r="S355" s="3"/>
      <c r="T355" s="3"/>
      <c r="U355" s="3"/>
      <c r="V355" s="3"/>
      <c r="W355" s="3"/>
      <c r="X355" s="3"/>
      <c r="Y355" s="3"/>
      <c r="Z355" s="3"/>
      <c r="AA355" s="3"/>
    </row>
    <row r="356" spans="1:27" ht="14.25" customHeight="1">
      <c r="A356" s="2">
        <v>46178</v>
      </c>
      <c r="B356" s="3" t="s">
        <v>1073</v>
      </c>
      <c r="C356" s="3" t="s">
        <v>1074</v>
      </c>
      <c r="D356" s="3" t="s">
        <v>1075</v>
      </c>
      <c r="E356" s="3" t="s">
        <v>1422</v>
      </c>
      <c r="F356" s="3"/>
      <c r="G356" s="3" t="s">
        <v>981</v>
      </c>
      <c r="H356" s="3"/>
      <c r="I356" s="3" t="s">
        <v>20</v>
      </c>
      <c r="J356" s="3"/>
      <c r="K356" s="3" t="s">
        <v>21</v>
      </c>
      <c r="L356" s="3" t="s">
        <v>21</v>
      </c>
      <c r="M356" s="3" t="s">
        <v>1423</v>
      </c>
      <c r="N356" s="3" t="s">
        <v>1424</v>
      </c>
      <c r="O356" s="3" t="s">
        <v>1425</v>
      </c>
      <c r="P356" s="3" t="s">
        <v>1426</v>
      </c>
      <c r="Q356" s="3"/>
      <c r="R356" s="3"/>
      <c r="S356" s="3"/>
      <c r="T356" s="3"/>
      <c r="U356" s="3"/>
      <c r="V356" s="3"/>
      <c r="W356" s="3"/>
      <c r="X356" s="3"/>
      <c r="Y356" s="3"/>
      <c r="Z356" s="3"/>
      <c r="AA356" s="3"/>
    </row>
    <row r="357" spans="1:27" ht="14.25" customHeight="1">
      <c r="A357" s="2">
        <v>46178</v>
      </c>
      <c r="B357" s="3" t="s">
        <v>1030</v>
      </c>
      <c r="C357" s="3" t="s">
        <v>1031</v>
      </c>
      <c r="D357" s="3" t="s">
        <v>1032</v>
      </c>
      <c r="E357" s="3" t="s">
        <v>1427</v>
      </c>
      <c r="F357" s="3"/>
      <c r="G357" s="3" t="s">
        <v>1034</v>
      </c>
      <c r="H357" s="3"/>
      <c r="I357" s="3" t="s">
        <v>20</v>
      </c>
      <c r="J357" s="3"/>
      <c r="K357" s="3" t="s">
        <v>604</v>
      </c>
      <c r="L357" s="3" t="s">
        <v>28</v>
      </c>
      <c r="M357" s="3" t="s">
        <v>1428</v>
      </c>
      <c r="N357" s="3" t="s">
        <v>1286</v>
      </c>
      <c r="O357" s="3" t="s">
        <v>1429</v>
      </c>
      <c r="P357" s="3" t="s">
        <v>1430</v>
      </c>
      <c r="Q357" s="3"/>
      <c r="R357" s="3"/>
      <c r="S357" s="3"/>
      <c r="T357" s="3"/>
      <c r="U357" s="3"/>
      <c r="V357" s="3"/>
      <c r="W357" s="3"/>
      <c r="X357" s="3"/>
      <c r="Y357" s="3"/>
      <c r="Z357" s="3"/>
      <c r="AA357" s="3"/>
    </row>
    <row r="358" spans="1:27" ht="14.25" customHeight="1">
      <c r="A358" s="2">
        <v>46178</v>
      </c>
      <c r="B358" s="3" t="s">
        <v>81</v>
      </c>
      <c r="C358" s="3" t="s">
        <v>82</v>
      </c>
      <c r="D358" s="3" t="s">
        <v>475</v>
      </c>
      <c r="E358" s="3" t="s">
        <v>1431</v>
      </c>
      <c r="F358" s="3"/>
      <c r="G358" s="3" t="s">
        <v>19</v>
      </c>
      <c r="H358" s="3"/>
      <c r="I358" s="3" t="s">
        <v>20</v>
      </c>
      <c r="J358" s="3"/>
      <c r="K358" s="3" t="s">
        <v>21</v>
      </c>
      <c r="L358" s="3" t="s">
        <v>28</v>
      </c>
      <c r="M358" s="3" t="s">
        <v>1432</v>
      </c>
      <c r="N358" s="3" t="s">
        <v>48</v>
      </c>
      <c r="O358" s="3" t="s">
        <v>30</v>
      </c>
      <c r="P358" s="3" t="s">
        <v>30</v>
      </c>
      <c r="Q358" s="3"/>
      <c r="R358" s="3"/>
      <c r="S358" s="3"/>
      <c r="T358" s="3"/>
      <c r="U358" s="3"/>
      <c r="V358" s="3"/>
      <c r="W358" s="3"/>
      <c r="X358" s="3"/>
      <c r="Y358" s="3"/>
      <c r="Z358" s="3"/>
      <c r="AA358" s="3"/>
    </row>
    <row r="359" spans="1:27" ht="14.25" customHeight="1">
      <c r="A359" s="2">
        <v>46178</v>
      </c>
      <c r="B359" s="3" t="s">
        <v>81</v>
      </c>
      <c r="C359" s="3" t="s">
        <v>82</v>
      </c>
      <c r="D359" s="3" t="s">
        <v>83</v>
      </c>
      <c r="E359" s="3" t="s">
        <v>1433</v>
      </c>
      <c r="F359" s="3"/>
      <c r="G359" s="3" t="s">
        <v>19</v>
      </c>
      <c r="H359" s="3"/>
      <c r="I359" s="3" t="s">
        <v>20</v>
      </c>
      <c r="J359" s="3"/>
      <c r="K359" s="3" t="s">
        <v>21</v>
      </c>
      <c r="L359" s="3" t="s">
        <v>21</v>
      </c>
      <c r="M359" s="3" t="s">
        <v>1434</v>
      </c>
      <c r="N359" s="3" t="s">
        <v>1435</v>
      </c>
      <c r="O359" s="3" t="s">
        <v>1436</v>
      </c>
      <c r="P359" s="3"/>
      <c r="Q359" s="3"/>
      <c r="R359" s="3"/>
      <c r="S359" s="3"/>
      <c r="T359" s="3"/>
      <c r="U359" s="3"/>
      <c r="V359" s="3"/>
      <c r="W359" s="3"/>
      <c r="X359" s="3"/>
      <c r="Y359" s="3"/>
      <c r="Z359" s="3"/>
      <c r="AA359" s="3"/>
    </row>
    <row r="360" spans="1:27" ht="14.25" customHeight="1">
      <c r="A360" s="2">
        <v>46178</v>
      </c>
      <c r="B360" s="3" t="s">
        <v>81</v>
      </c>
      <c r="C360" s="3" t="s">
        <v>50</v>
      </c>
      <c r="D360" s="3" t="s">
        <v>196</v>
      </c>
      <c r="E360" s="3" t="s">
        <v>1437</v>
      </c>
      <c r="F360" s="3"/>
      <c r="G360" s="3" t="s">
        <v>19</v>
      </c>
      <c r="H360" s="3"/>
      <c r="I360" s="3" t="s">
        <v>20</v>
      </c>
      <c r="J360" s="3"/>
      <c r="K360" s="3" t="s">
        <v>21</v>
      </c>
      <c r="L360" s="3" t="s">
        <v>28</v>
      </c>
      <c r="M360" s="3" t="s">
        <v>1438</v>
      </c>
      <c r="N360" s="3" t="s">
        <v>1439</v>
      </c>
      <c r="O360" s="3" t="s">
        <v>1440</v>
      </c>
      <c r="P360" s="3" t="s">
        <v>1441</v>
      </c>
      <c r="Q360" s="3"/>
      <c r="R360" s="3"/>
      <c r="S360" s="3"/>
      <c r="T360" s="3"/>
      <c r="U360" s="3"/>
      <c r="V360" s="3"/>
      <c r="W360" s="3"/>
      <c r="X360" s="3"/>
      <c r="Y360" s="3"/>
      <c r="Z360" s="3"/>
      <c r="AA360" s="3"/>
    </row>
    <row r="361" spans="1:27" ht="14.25" customHeight="1">
      <c r="A361" s="2">
        <v>46178</v>
      </c>
      <c r="B361" s="3" t="s">
        <v>15</v>
      </c>
      <c r="C361" s="3" t="s">
        <v>33</v>
      </c>
      <c r="D361" s="3" t="s">
        <v>34</v>
      </c>
      <c r="E361" s="3" t="s">
        <v>1442</v>
      </c>
      <c r="F361" s="3"/>
      <c r="G361" s="3" t="s">
        <v>19</v>
      </c>
      <c r="H361" s="3"/>
      <c r="I361" s="3" t="s">
        <v>20</v>
      </c>
      <c r="J361" s="3"/>
      <c r="K361" s="3" t="s">
        <v>28</v>
      </c>
      <c r="L361" s="3" t="s">
        <v>28</v>
      </c>
      <c r="M361" s="3" t="s">
        <v>1443</v>
      </c>
      <c r="N361" s="3" t="s">
        <v>1444</v>
      </c>
      <c r="O361" s="3" t="s">
        <v>1445</v>
      </c>
      <c r="P361" s="3"/>
      <c r="Q361" s="3"/>
      <c r="R361" s="3"/>
      <c r="S361" s="3"/>
      <c r="T361" s="3"/>
      <c r="U361" s="3"/>
      <c r="V361" s="3"/>
      <c r="W361" s="3"/>
      <c r="X361" s="3"/>
      <c r="Y361" s="3"/>
      <c r="Z361" s="3"/>
      <c r="AA361" s="3"/>
    </row>
    <row r="362" spans="1:27" ht="14.25" customHeight="1">
      <c r="A362" s="2">
        <v>46178</v>
      </c>
      <c r="B362" s="3" t="s">
        <v>1030</v>
      </c>
      <c r="C362" s="3" t="s">
        <v>1031</v>
      </c>
      <c r="D362" s="3" t="s">
        <v>1032</v>
      </c>
      <c r="E362" s="3" t="s">
        <v>1446</v>
      </c>
      <c r="F362" s="3"/>
      <c r="G362" s="3" t="s">
        <v>1034</v>
      </c>
      <c r="H362" s="3"/>
      <c r="I362" s="3" t="s">
        <v>45</v>
      </c>
      <c r="J362" s="3"/>
      <c r="K362" s="3" t="s">
        <v>28</v>
      </c>
      <c r="L362" s="3" t="s">
        <v>21</v>
      </c>
      <c r="M362" s="3" t="s">
        <v>1447</v>
      </c>
      <c r="N362" s="3" t="s">
        <v>1448</v>
      </c>
      <c r="O362" s="3" t="s">
        <v>1449</v>
      </c>
      <c r="P362" s="3" t="s">
        <v>123</v>
      </c>
      <c r="Q362" s="3"/>
      <c r="R362" s="3"/>
      <c r="S362" s="3"/>
      <c r="T362" s="3"/>
      <c r="U362" s="3"/>
      <c r="V362" s="3"/>
      <c r="W362" s="3"/>
      <c r="X362" s="3"/>
      <c r="Y362" s="3"/>
      <c r="Z362" s="3"/>
      <c r="AA362" s="3"/>
    </row>
    <row r="363" spans="1:27" ht="14.25" customHeight="1">
      <c r="A363" s="2">
        <v>46178</v>
      </c>
      <c r="B363" s="3" t="s">
        <v>81</v>
      </c>
      <c r="C363" s="3" t="s">
        <v>50</v>
      </c>
      <c r="D363" s="3" t="s">
        <v>196</v>
      </c>
      <c r="E363" s="3" t="s">
        <v>1450</v>
      </c>
      <c r="F363" s="3"/>
      <c r="G363" s="3" t="s">
        <v>19</v>
      </c>
      <c r="H363" s="3"/>
      <c r="I363" s="3" t="s">
        <v>20</v>
      </c>
      <c r="J363" s="3"/>
      <c r="K363" s="3" t="s">
        <v>21</v>
      </c>
      <c r="L363" s="3" t="s">
        <v>21</v>
      </c>
      <c r="M363" s="3" t="s">
        <v>1451</v>
      </c>
      <c r="N363" s="3" t="s">
        <v>1452</v>
      </c>
      <c r="O363" s="3" t="s">
        <v>479</v>
      </c>
      <c r="P363" s="3" t="s">
        <v>30</v>
      </c>
      <c r="Q363" s="3"/>
      <c r="R363" s="3"/>
      <c r="S363" s="3"/>
      <c r="T363" s="3"/>
      <c r="U363" s="3"/>
      <c r="V363" s="3"/>
      <c r="W363" s="3"/>
      <c r="X363" s="3"/>
      <c r="Y363" s="3"/>
      <c r="Z363" s="3"/>
      <c r="AA363" s="3"/>
    </row>
    <row r="364" spans="1:27" ht="14.25" customHeight="1">
      <c r="A364" s="2">
        <v>46178</v>
      </c>
      <c r="B364" s="3" t="s">
        <v>81</v>
      </c>
      <c r="C364" s="3" t="s">
        <v>50</v>
      </c>
      <c r="D364" s="3" t="s">
        <v>196</v>
      </c>
      <c r="E364" s="3" t="s">
        <v>1453</v>
      </c>
      <c r="F364" s="3"/>
      <c r="G364" s="3" t="s">
        <v>107</v>
      </c>
      <c r="H364" s="3"/>
      <c r="I364" s="3" t="s">
        <v>20</v>
      </c>
      <c r="J364" s="3"/>
      <c r="K364" s="3" t="s">
        <v>21</v>
      </c>
      <c r="L364" s="3" t="s">
        <v>21</v>
      </c>
      <c r="M364" s="3" t="s">
        <v>1454</v>
      </c>
      <c r="N364" s="3" t="s">
        <v>1455</v>
      </c>
      <c r="O364" s="3" t="s">
        <v>1456</v>
      </c>
      <c r="P364" s="3"/>
      <c r="Q364" s="3"/>
      <c r="R364" s="3"/>
      <c r="S364" s="3"/>
      <c r="T364" s="3"/>
      <c r="U364" s="3"/>
      <c r="V364" s="3"/>
      <c r="W364" s="3"/>
      <c r="X364" s="3"/>
      <c r="Y364" s="3"/>
      <c r="Z364" s="3"/>
      <c r="AA364" s="3"/>
    </row>
    <row r="365" spans="1:27" ht="14.25" customHeight="1">
      <c r="A365" s="2">
        <v>46178</v>
      </c>
      <c r="B365" s="3" t="s">
        <v>81</v>
      </c>
      <c r="C365" s="3" t="s">
        <v>82</v>
      </c>
      <c r="D365" s="3" t="s">
        <v>83</v>
      </c>
      <c r="E365" s="3" t="s">
        <v>1457</v>
      </c>
      <c r="F365" s="3"/>
      <c r="G365" s="3" t="s">
        <v>19</v>
      </c>
      <c r="H365" s="3"/>
      <c r="I365" s="3" t="s">
        <v>20</v>
      </c>
      <c r="J365" s="3"/>
      <c r="K365" s="3" t="s">
        <v>21</v>
      </c>
      <c r="L365" s="3" t="s">
        <v>21</v>
      </c>
      <c r="M365" s="3" t="s">
        <v>1458</v>
      </c>
      <c r="N365" s="3" t="s">
        <v>1459</v>
      </c>
      <c r="O365" s="3" t="s">
        <v>1460</v>
      </c>
      <c r="P365" s="3" t="s">
        <v>30</v>
      </c>
      <c r="Q365" s="3"/>
      <c r="R365" s="3"/>
      <c r="S365" s="3"/>
      <c r="T365" s="3"/>
      <c r="U365" s="3"/>
      <c r="V365" s="3"/>
      <c r="W365" s="3"/>
      <c r="X365" s="3"/>
      <c r="Y365" s="3"/>
      <c r="Z365" s="3"/>
      <c r="AA365" s="3"/>
    </row>
    <row r="366" spans="1:27" ht="14.25" customHeight="1">
      <c r="A366" s="2">
        <v>46178</v>
      </c>
      <c r="B366" s="3" t="s">
        <v>49</v>
      </c>
      <c r="C366" s="3" t="s">
        <v>50</v>
      </c>
      <c r="D366" s="3" t="s">
        <v>51</v>
      </c>
      <c r="E366" s="3" t="s">
        <v>1461</v>
      </c>
      <c r="F366" s="3"/>
      <c r="G366" s="3" t="s">
        <v>19</v>
      </c>
      <c r="H366" s="3"/>
      <c r="I366" s="3" t="s">
        <v>20</v>
      </c>
      <c r="J366" s="3"/>
      <c r="K366" s="3" t="s">
        <v>21</v>
      </c>
      <c r="L366" s="3" t="s">
        <v>21</v>
      </c>
      <c r="M366" s="3" t="s">
        <v>1462</v>
      </c>
      <c r="N366" s="3" t="s">
        <v>1463</v>
      </c>
      <c r="O366" s="3" t="s">
        <v>1464</v>
      </c>
      <c r="P366" s="3" t="s">
        <v>1465</v>
      </c>
      <c r="Q366" s="3"/>
      <c r="R366" s="3"/>
      <c r="S366" s="3"/>
      <c r="T366" s="3"/>
      <c r="U366" s="3"/>
      <c r="V366" s="3"/>
      <c r="W366" s="3"/>
      <c r="X366" s="3"/>
      <c r="Y366" s="3"/>
      <c r="Z366" s="3"/>
      <c r="AA366" s="3"/>
    </row>
    <row r="367" spans="1:27" ht="14.25" customHeight="1">
      <c r="A367" s="2">
        <v>46178</v>
      </c>
      <c r="B367" s="3" t="s">
        <v>1073</v>
      </c>
      <c r="C367" s="3" t="s">
        <v>1074</v>
      </c>
      <c r="D367" s="3" t="s">
        <v>1075</v>
      </c>
      <c r="E367" s="3" t="s">
        <v>1193</v>
      </c>
      <c r="F367" s="3"/>
      <c r="G367" s="3" t="s">
        <v>981</v>
      </c>
      <c r="H367" s="3"/>
      <c r="I367" s="3" t="s">
        <v>20</v>
      </c>
      <c r="J367" s="3"/>
      <c r="K367" s="3" t="s">
        <v>186</v>
      </c>
      <c r="L367" s="3" t="s">
        <v>21</v>
      </c>
      <c r="M367" s="3" t="s">
        <v>1466</v>
      </c>
      <c r="N367" s="3" t="s">
        <v>1467</v>
      </c>
      <c r="O367" s="3" t="s">
        <v>1468</v>
      </c>
      <c r="P367" s="3" t="s">
        <v>1469</v>
      </c>
      <c r="Q367" s="3"/>
      <c r="R367" s="3"/>
      <c r="S367" s="3"/>
      <c r="T367" s="3"/>
      <c r="U367" s="3"/>
      <c r="V367" s="3"/>
      <c r="W367" s="3"/>
      <c r="X367" s="3"/>
      <c r="Y367" s="3"/>
      <c r="Z367" s="3"/>
      <c r="AA367" s="3"/>
    </row>
    <row r="368" spans="1:27" ht="14.25" customHeight="1">
      <c r="A368" s="2">
        <v>46178</v>
      </c>
      <c r="B368" s="3" t="s">
        <v>15</v>
      </c>
      <c r="C368" s="3" t="s">
        <v>16</v>
      </c>
      <c r="D368" s="3" t="s">
        <v>105</v>
      </c>
      <c r="E368" s="3" t="s">
        <v>1470</v>
      </c>
      <c r="F368" s="3"/>
      <c r="G368" s="3" t="s">
        <v>19</v>
      </c>
      <c r="H368" s="3"/>
      <c r="I368" s="3" t="s">
        <v>20</v>
      </c>
      <c r="J368" s="3"/>
      <c r="K368" s="3" t="s">
        <v>28</v>
      </c>
      <c r="L368" s="3" t="s">
        <v>28</v>
      </c>
      <c r="M368" s="3" t="s">
        <v>1471</v>
      </c>
      <c r="N368" s="3" t="s">
        <v>30</v>
      </c>
      <c r="O368" s="3" t="s">
        <v>1472</v>
      </c>
      <c r="P368" s="3" t="s">
        <v>1282</v>
      </c>
      <c r="Q368" s="3"/>
      <c r="R368" s="3"/>
      <c r="S368" s="3"/>
      <c r="T368" s="3"/>
      <c r="U368" s="3"/>
      <c r="V368" s="3"/>
      <c r="W368" s="3"/>
      <c r="X368" s="3"/>
      <c r="Y368" s="3"/>
      <c r="Z368" s="3"/>
      <c r="AA368" s="3"/>
    </row>
    <row r="369" spans="1:27" ht="14.25" customHeight="1">
      <c r="A369" s="2">
        <v>46178</v>
      </c>
      <c r="B369" s="3" t="s">
        <v>81</v>
      </c>
      <c r="C369" s="3" t="s">
        <v>82</v>
      </c>
      <c r="D369" s="3" t="s">
        <v>475</v>
      </c>
      <c r="E369" s="3" t="s">
        <v>1473</v>
      </c>
      <c r="F369" s="3"/>
      <c r="G369" s="3" t="s">
        <v>19</v>
      </c>
      <c r="H369" s="3"/>
      <c r="I369" s="3" t="s">
        <v>20</v>
      </c>
      <c r="J369" s="3"/>
      <c r="K369" s="3" t="s">
        <v>21</v>
      </c>
      <c r="L369" s="3" t="s">
        <v>21</v>
      </c>
      <c r="M369" s="3" t="s">
        <v>1474</v>
      </c>
      <c r="N369" s="3" t="s">
        <v>1475</v>
      </c>
      <c r="O369" s="3" t="s">
        <v>1476</v>
      </c>
      <c r="P369" s="3" t="s">
        <v>1477</v>
      </c>
      <c r="Q369" s="3"/>
      <c r="R369" s="3"/>
      <c r="S369" s="3"/>
      <c r="T369" s="3"/>
      <c r="U369" s="3"/>
      <c r="V369" s="3"/>
      <c r="W369" s="3"/>
      <c r="X369" s="3"/>
      <c r="Y369" s="3"/>
      <c r="Z369" s="3"/>
      <c r="AA369" s="3"/>
    </row>
    <row r="370" spans="1:27" ht="14.25" customHeight="1">
      <c r="A370" s="2">
        <v>46178</v>
      </c>
      <c r="B370" s="3" t="s">
        <v>81</v>
      </c>
      <c r="C370" s="3" t="s">
        <v>82</v>
      </c>
      <c r="D370" s="3" t="s">
        <v>95</v>
      </c>
      <c r="E370" s="3" t="s">
        <v>1478</v>
      </c>
      <c r="F370" s="3"/>
      <c r="G370" s="3" t="s">
        <v>19</v>
      </c>
      <c r="H370" s="3"/>
      <c r="I370" s="3" t="s">
        <v>20</v>
      </c>
      <c r="J370" s="3"/>
      <c r="K370" s="3" t="s">
        <v>28</v>
      </c>
      <c r="L370" s="3" t="s">
        <v>28</v>
      </c>
      <c r="M370" s="3" t="s">
        <v>1479</v>
      </c>
      <c r="N370" s="3" t="s">
        <v>1480</v>
      </c>
      <c r="O370" s="3" t="s">
        <v>1481</v>
      </c>
      <c r="P370" s="3" t="s">
        <v>1482</v>
      </c>
      <c r="Q370" s="3"/>
      <c r="R370" s="3"/>
      <c r="S370" s="3"/>
      <c r="T370" s="3"/>
      <c r="U370" s="3"/>
      <c r="V370" s="3"/>
      <c r="W370" s="3"/>
      <c r="X370" s="3"/>
      <c r="Y370" s="3"/>
      <c r="Z370" s="3"/>
      <c r="AA370" s="3"/>
    </row>
    <row r="371" spans="1:27" ht="14.25" customHeight="1">
      <c r="A371" s="2">
        <v>46178</v>
      </c>
      <c r="B371" s="3" t="s">
        <v>1030</v>
      </c>
      <c r="C371" s="3" t="s">
        <v>1031</v>
      </c>
      <c r="D371" s="3" t="s">
        <v>1061</v>
      </c>
      <c r="E371" s="3" t="s">
        <v>1483</v>
      </c>
      <c r="F371" s="3"/>
      <c r="G371" s="3" t="s">
        <v>1034</v>
      </c>
      <c r="H371" s="3"/>
      <c r="I371" s="3" t="s">
        <v>20</v>
      </c>
      <c r="J371" s="3"/>
      <c r="K371" s="3" t="s">
        <v>21</v>
      </c>
      <c r="L371" s="3" t="s">
        <v>604</v>
      </c>
      <c r="M371" s="3" t="s">
        <v>1484</v>
      </c>
      <c r="N371" s="3" t="s">
        <v>1485</v>
      </c>
      <c r="O371" s="3" t="s">
        <v>1486</v>
      </c>
      <c r="P371" s="3" t="s">
        <v>21</v>
      </c>
      <c r="Q371" s="3"/>
      <c r="R371" s="3"/>
      <c r="S371" s="3"/>
      <c r="T371" s="3"/>
      <c r="U371" s="3"/>
      <c r="V371" s="3"/>
      <c r="W371" s="3"/>
      <c r="X371" s="3"/>
      <c r="Y371" s="3"/>
      <c r="Z371" s="3"/>
      <c r="AA371" s="3"/>
    </row>
    <row r="372" spans="1:27" ht="14.25" customHeight="1">
      <c r="A372" s="2">
        <v>46178</v>
      </c>
      <c r="B372" s="3" t="s">
        <v>111</v>
      </c>
      <c r="C372" s="3" t="s">
        <v>112</v>
      </c>
      <c r="D372" s="3" t="s">
        <v>113</v>
      </c>
      <c r="E372" s="3" t="s">
        <v>1487</v>
      </c>
      <c r="F372" s="3"/>
      <c r="G372" s="3" t="s">
        <v>19</v>
      </c>
      <c r="H372" s="3"/>
      <c r="I372" s="3" t="s">
        <v>45</v>
      </c>
      <c r="J372" s="3"/>
      <c r="K372" s="3" t="s">
        <v>21</v>
      </c>
      <c r="L372" s="3" t="s">
        <v>28</v>
      </c>
      <c r="M372" s="3" t="s">
        <v>1488</v>
      </c>
      <c r="N372" s="3" t="s">
        <v>1489</v>
      </c>
      <c r="O372" s="3" t="s">
        <v>1490</v>
      </c>
      <c r="P372" s="3" t="s">
        <v>48</v>
      </c>
      <c r="Q372" s="3"/>
      <c r="R372" s="3"/>
      <c r="S372" s="3"/>
      <c r="T372" s="3"/>
      <c r="U372" s="3"/>
      <c r="V372" s="3"/>
      <c r="W372" s="3"/>
      <c r="X372" s="3"/>
      <c r="Y372" s="3"/>
      <c r="Z372" s="3"/>
      <c r="AA372" s="3"/>
    </row>
    <row r="373" spans="1:27" ht="14.25" customHeight="1">
      <c r="A373" s="2">
        <v>46178</v>
      </c>
      <c r="B373" s="3" t="s">
        <v>81</v>
      </c>
      <c r="C373" s="3" t="s">
        <v>50</v>
      </c>
      <c r="D373" s="3" t="s">
        <v>136</v>
      </c>
      <c r="E373" s="3" t="s">
        <v>1491</v>
      </c>
      <c r="F373" s="3"/>
      <c r="G373" s="3" t="s">
        <v>19</v>
      </c>
      <c r="H373" s="3"/>
      <c r="I373" s="3" t="s">
        <v>20</v>
      </c>
      <c r="J373" s="3"/>
      <c r="K373" s="3" t="s">
        <v>21</v>
      </c>
      <c r="L373" s="3" t="s">
        <v>21</v>
      </c>
      <c r="M373" s="3" t="s">
        <v>1492</v>
      </c>
      <c r="N373" s="3" t="s">
        <v>1493</v>
      </c>
      <c r="O373" s="3" t="s">
        <v>1494</v>
      </c>
      <c r="P373" s="3"/>
      <c r="Q373" s="3"/>
      <c r="R373" s="3"/>
      <c r="S373" s="3"/>
      <c r="T373" s="3"/>
      <c r="U373" s="3"/>
      <c r="V373" s="3"/>
      <c r="W373" s="3"/>
      <c r="X373" s="3"/>
      <c r="Y373" s="3"/>
      <c r="Z373" s="3"/>
      <c r="AA373" s="3"/>
    </row>
    <row r="374" spans="1:27" ht="14.25" customHeight="1">
      <c r="A374" s="2">
        <v>46178</v>
      </c>
      <c r="B374" s="3" t="s">
        <v>15</v>
      </c>
      <c r="C374" s="3" t="s">
        <v>16</v>
      </c>
      <c r="D374" s="3" t="s">
        <v>17</v>
      </c>
      <c r="E374" s="3" t="s">
        <v>1495</v>
      </c>
      <c r="F374" s="3"/>
      <c r="G374" s="3" t="s">
        <v>19</v>
      </c>
      <c r="H374" s="3"/>
      <c r="I374" s="3" t="s">
        <v>20</v>
      </c>
      <c r="J374" s="3"/>
      <c r="K374" s="3" t="s">
        <v>21</v>
      </c>
      <c r="L374" s="3" t="s">
        <v>21</v>
      </c>
      <c r="M374" s="3" t="s">
        <v>1496</v>
      </c>
      <c r="N374" s="3" t="s">
        <v>1497</v>
      </c>
      <c r="O374" s="3" t="s">
        <v>1498</v>
      </c>
      <c r="P374" s="3" t="s">
        <v>30</v>
      </c>
      <c r="Q374" s="3"/>
      <c r="R374" s="3"/>
      <c r="S374" s="3"/>
      <c r="T374" s="3"/>
      <c r="U374" s="3"/>
      <c r="V374" s="3"/>
      <c r="W374" s="3"/>
      <c r="X374" s="3"/>
      <c r="Y374" s="3"/>
      <c r="Z374" s="3"/>
      <c r="AA374" s="3"/>
    </row>
    <row r="375" spans="1:27" ht="14.25" customHeight="1">
      <c r="A375" s="2">
        <v>46178</v>
      </c>
      <c r="B375" s="3" t="s">
        <v>150</v>
      </c>
      <c r="C375" s="3" t="s">
        <v>151</v>
      </c>
      <c r="D375" s="3" t="s">
        <v>150</v>
      </c>
      <c r="E375" s="3" t="s">
        <v>1499</v>
      </c>
      <c r="F375" s="3"/>
      <c r="G375" s="3" t="s">
        <v>19</v>
      </c>
      <c r="H375" s="3"/>
      <c r="I375" s="3" t="s">
        <v>20</v>
      </c>
      <c r="J375" s="3"/>
      <c r="K375" s="3" t="s">
        <v>21</v>
      </c>
      <c r="L375" s="3" t="s">
        <v>28</v>
      </c>
      <c r="M375" s="3" t="s">
        <v>1500</v>
      </c>
      <c r="N375" s="3" t="s">
        <v>724</v>
      </c>
      <c r="O375" s="3" t="s">
        <v>1501</v>
      </c>
      <c r="P375" s="3" t="s">
        <v>30</v>
      </c>
      <c r="Q375" s="3"/>
      <c r="R375" s="3"/>
      <c r="S375" s="3"/>
      <c r="T375" s="3"/>
      <c r="U375" s="3"/>
      <c r="V375" s="3"/>
      <c r="W375" s="3"/>
      <c r="X375" s="3"/>
      <c r="Y375" s="3"/>
      <c r="Z375" s="3"/>
      <c r="AA375" s="3"/>
    </row>
    <row r="376" spans="1:27" ht="14.25" customHeight="1">
      <c r="A376" s="2">
        <v>46178</v>
      </c>
      <c r="B376" s="3" t="s">
        <v>1030</v>
      </c>
      <c r="C376" s="3" t="s">
        <v>1031</v>
      </c>
      <c r="D376" s="3" t="s">
        <v>1061</v>
      </c>
      <c r="E376" s="3" t="s">
        <v>1502</v>
      </c>
      <c r="F376" s="3"/>
      <c r="G376" s="3" t="s">
        <v>981</v>
      </c>
      <c r="H376" s="3"/>
      <c r="I376" s="3" t="s">
        <v>20</v>
      </c>
      <c r="J376" s="3"/>
      <c r="K376" s="3" t="s">
        <v>21</v>
      </c>
      <c r="L376" s="3" t="s">
        <v>21</v>
      </c>
      <c r="M376" s="3" t="s">
        <v>1503</v>
      </c>
      <c r="N376" s="3" t="s">
        <v>1504</v>
      </c>
      <c r="O376" s="3" t="s">
        <v>1505</v>
      </c>
      <c r="P376" s="3" t="s">
        <v>123</v>
      </c>
      <c r="Q376" s="3"/>
      <c r="R376" s="3"/>
      <c r="S376" s="3"/>
      <c r="T376" s="3"/>
      <c r="U376" s="3"/>
      <c r="V376" s="3"/>
      <c r="W376" s="3"/>
      <c r="X376" s="3"/>
      <c r="Y376" s="3"/>
      <c r="Z376" s="3"/>
      <c r="AA376" s="3"/>
    </row>
    <row r="377" spans="1:27" ht="14.25" customHeight="1">
      <c r="A377" s="2">
        <v>46178</v>
      </c>
      <c r="B377" s="3" t="s">
        <v>15</v>
      </c>
      <c r="C377" s="3" t="s">
        <v>16</v>
      </c>
      <c r="D377" s="3" t="s">
        <v>1064</v>
      </c>
      <c r="E377" s="3" t="s">
        <v>1506</v>
      </c>
      <c r="F377" s="3"/>
      <c r="G377" s="3" t="s">
        <v>19</v>
      </c>
      <c r="H377" s="3"/>
      <c r="I377" s="3" t="s">
        <v>20</v>
      </c>
      <c r="J377" s="3"/>
      <c r="K377" s="3" t="s">
        <v>28</v>
      </c>
      <c r="L377" s="3" t="s">
        <v>21</v>
      </c>
      <c r="M377" s="3" t="s">
        <v>1507</v>
      </c>
      <c r="N377" s="3" t="s">
        <v>1508</v>
      </c>
      <c r="O377" s="3" t="s">
        <v>1509</v>
      </c>
      <c r="P377" s="3" t="s">
        <v>1510</v>
      </c>
      <c r="Q377" s="3"/>
      <c r="R377" s="3"/>
      <c r="S377" s="3"/>
      <c r="T377" s="3"/>
      <c r="U377" s="3"/>
      <c r="V377" s="3"/>
      <c r="W377" s="3"/>
      <c r="X377" s="3"/>
      <c r="Y377" s="3"/>
      <c r="Z377" s="3"/>
      <c r="AA377" s="3"/>
    </row>
    <row r="378" spans="1:27" ht="14.25" customHeight="1">
      <c r="A378" s="2">
        <v>46178</v>
      </c>
      <c r="B378" s="3" t="s">
        <v>15</v>
      </c>
      <c r="C378" s="3" t="s">
        <v>16</v>
      </c>
      <c r="D378" s="3" t="s">
        <v>1064</v>
      </c>
      <c r="E378" s="3" t="s">
        <v>1511</v>
      </c>
      <c r="F378" s="3"/>
      <c r="G378" s="3" t="s">
        <v>19</v>
      </c>
      <c r="H378" s="3"/>
      <c r="I378" s="3" t="s">
        <v>20</v>
      </c>
      <c r="J378" s="3"/>
      <c r="K378" s="3" t="s">
        <v>21</v>
      </c>
      <c r="L378" s="3" t="s">
        <v>21</v>
      </c>
      <c r="M378" s="3" t="s">
        <v>1512</v>
      </c>
      <c r="N378" s="3" t="s">
        <v>1513</v>
      </c>
      <c r="O378" s="3" t="s">
        <v>1514</v>
      </c>
      <c r="P378" s="3" t="s">
        <v>30</v>
      </c>
      <c r="Q378" s="3"/>
      <c r="R378" s="3"/>
      <c r="S378" s="3"/>
      <c r="T378" s="3"/>
      <c r="U378" s="3"/>
      <c r="V378" s="3"/>
      <c r="W378" s="3"/>
      <c r="X378" s="3"/>
      <c r="Y378" s="3"/>
      <c r="Z378" s="3"/>
      <c r="AA378" s="3"/>
    </row>
    <row r="379" spans="1:27" ht="14.25" customHeight="1">
      <c r="A379" s="2">
        <v>46178</v>
      </c>
      <c r="B379" s="3" t="s">
        <v>81</v>
      </c>
      <c r="C379" s="3" t="s">
        <v>82</v>
      </c>
      <c r="D379" s="3" t="s">
        <v>288</v>
      </c>
      <c r="E379" s="3" t="s">
        <v>1515</v>
      </c>
      <c r="F379" s="3"/>
      <c r="G379" s="3" t="s">
        <v>19</v>
      </c>
      <c r="H379" s="3"/>
      <c r="I379" s="3" t="s">
        <v>20</v>
      </c>
      <c r="J379" s="3"/>
      <c r="K379" s="3" t="s">
        <v>28</v>
      </c>
      <c r="L379" s="3" t="s">
        <v>28</v>
      </c>
      <c r="M379" s="3" t="s">
        <v>1516</v>
      </c>
      <c r="N379" s="3" t="s">
        <v>1517</v>
      </c>
      <c r="O379" s="3" t="s">
        <v>1518</v>
      </c>
      <c r="P379" s="3"/>
      <c r="Q379" s="3"/>
      <c r="R379" s="3"/>
      <c r="S379" s="3"/>
      <c r="T379" s="3"/>
      <c r="U379" s="3"/>
      <c r="V379" s="3"/>
      <c r="W379" s="3"/>
      <c r="X379" s="3"/>
      <c r="Y379" s="3"/>
      <c r="Z379" s="3"/>
      <c r="AA379" s="3"/>
    </row>
    <row r="380" spans="1:27" ht="14.25" customHeight="1">
      <c r="A380" s="2">
        <v>46178</v>
      </c>
      <c r="B380" s="3" t="s">
        <v>15</v>
      </c>
      <c r="C380" s="3" t="s">
        <v>16</v>
      </c>
      <c r="D380" s="3" t="s">
        <v>105</v>
      </c>
      <c r="E380" s="3" t="s">
        <v>1519</v>
      </c>
      <c r="F380" s="3"/>
      <c r="G380" s="3" t="s">
        <v>107</v>
      </c>
      <c r="H380" s="3"/>
      <c r="I380" s="3" t="s">
        <v>45</v>
      </c>
      <c r="J380" s="3" t="s">
        <v>604</v>
      </c>
      <c r="K380" s="3" t="s">
        <v>604</v>
      </c>
      <c r="L380" s="3" t="s">
        <v>604</v>
      </c>
      <c r="M380" s="3" t="s">
        <v>1520</v>
      </c>
      <c r="N380" s="3" t="s">
        <v>1521</v>
      </c>
      <c r="O380" s="3" t="s">
        <v>1522</v>
      </c>
      <c r="P380" s="3"/>
      <c r="Q380" s="3"/>
      <c r="R380" s="3"/>
      <c r="S380" s="3"/>
      <c r="T380" s="3"/>
      <c r="U380" s="3"/>
      <c r="V380" s="3"/>
      <c r="W380" s="3"/>
      <c r="X380" s="3"/>
      <c r="Y380" s="3"/>
      <c r="Z380" s="3"/>
      <c r="AA380" s="3"/>
    </row>
    <row r="381" spans="1:27" ht="14.25" customHeight="1">
      <c r="A381" s="2">
        <v>46178</v>
      </c>
      <c r="B381" s="3" t="s">
        <v>1030</v>
      </c>
      <c r="C381" s="3" t="s">
        <v>1031</v>
      </c>
      <c r="D381" s="3" t="s">
        <v>1061</v>
      </c>
      <c r="E381" s="3" t="s">
        <v>1523</v>
      </c>
      <c r="F381" s="3"/>
      <c r="G381" s="3" t="s">
        <v>981</v>
      </c>
      <c r="H381" s="3"/>
      <c r="I381" s="3" t="s">
        <v>20</v>
      </c>
      <c r="J381" s="3" t="s">
        <v>21</v>
      </c>
      <c r="K381" s="3" t="s">
        <v>28</v>
      </c>
      <c r="L381" s="3" t="s">
        <v>21</v>
      </c>
      <c r="M381" s="3" t="s">
        <v>1524</v>
      </c>
      <c r="N381" s="3" t="s">
        <v>1525</v>
      </c>
      <c r="O381" s="3" t="s">
        <v>1526</v>
      </c>
      <c r="P381" s="3" t="s">
        <v>1527</v>
      </c>
      <c r="Q381" s="3"/>
      <c r="R381" s="3"/>
      <c r="S381" s="3"/>
      <c r="T381" s="3"/>
      <c r="U381" s="3"/>
      <c r="V381" s="3"/>
      <c r="W381" s="3"/>
      <c r="X381" s="3"/>
      <c r="Y381" s="3"/>
      <c r="Z381" s="3"/>
      <c r="AA381" s="3"/>
    </row>
    <row r="382" spans="1:27" ht="14.25" customHeight="1">
      <c r="A382" s="2">
        <v>46178</v>
      </c>
      <c r="B382" s="3" t="s">
        <v>81</v>
      </c>
      <c r="C382" s="3" t="s">
        <v>82</v>
      </c>
      <c r="D382" s="3" t="s">
        <v>83</v>
      </c>
      <c r="E382" s="3" t="s">
        <v>1528</v>
      </c>
      <c r="F382" s="3"/>
      <c r="G382" s="3" t="s">
        <v>19</v>
      </c>
      <c r="H382" s="3"/>
      <c r="I382" s="3" t="s">
        <v>20</v>
      </c>
      <c r="J382" s="3"/>
      <c r="K382" s="3" t="s">
        <v>21</v>
      </c>
      <c r="L382" s="3" t="s">
        <v>28</v>
      </c>
      <c r="M382" s="3" t="s">
        <v>1529</v>
      </c>
      <c r="N382" s="3" t="s">
        <v>55</v>
      </c>
      <c r="O382" s="3" t="s">
        <v>1530</v>
      </c>
      <c r="P382" s="3" t="s">
        <v>30</v>
      </c>
      <c r="Q382" s="3"/>
      <c r="R382" s="3"/>
      <c r="S382" s="3"/>
      <c r="T382" s="3"/>
      <c r="U382" s="3"/>
      <c r="V382" s="3"/>
      <c r="W382" s="3"/>
      <c r="X382" s="3"/>
      <c r="Y382" s="3"/>
      <c r="Z382" s="3"/>
      <c r="AA382" s="3"/>
    </row>
    <row r="383" spans="1:27" ht="14.25" customHeight="1">
      <c r="A383" s="2">
        <v>46178</v>
      </c>
      <c r="B383" s="3" t="s">
        <v>25</v>
      </c>
      <c r="C383" s="3" t="s">
        <v>26</v>
      </c>
      <c r="D383" s="3" t="s">
        <v>25</v>
      </c>
      <c r="E383" s="3" t="s">
        <v>1531</v>
      </c>
      <c r="F383" s="3"/>
      <c r="G383" s="3" t="s">
        <v>19</v>
      </c>
      <c r="H383" s="3"/>
      <c r="I383" s="3" t="s">
        <v>45</v>
      </c>
      <c r="J383" s="3"/>
      <c r="K383" s="3" t="s">
        <v>28</v>
      </c>
      <c r="L383" s="3" t="s">
        <v>28</v>
      </c>
      <c r="M383" s="3" t="s">
        <v>1532</v>
      </c>
      <c r="N383" s="3" t="s">
        <v>1533</v>
      </c>
      <c r="O383" s="3" t="s">
        <v>1534</v>
      </c>
      <c r="P383" s="3" t="s">
        <v>30</v>
      </c>
      <c r="Q383" s="3"/>
      <c r="R383" s="3"/>
      <c r="S383" s="3"/>
      <c r="T383" s="3"/>
      <c r="U383" s="3"/>
      <c r="V383" s="3"/>
      <c r="W383" s="3"/>
      <c r="X383" s="3"/>
      <c r="Y383" s="3"/>
      <c r="Z383" s="3"/>
      <c r="AA383" s="3"/>
    </row>
    <row r="384" spans="1:27" ht="14.25" customHeight="1">
      <c r="A384" s="2">
        <v>46178</v>
      </c>
      <c r="B384" s="3" t="s">
        <v>15</v>
      </c>
      <c r="C384" s="3" t="s">
        <v>16</v>
      </c>
      <c r="D384" s="3" t="s">
        <v>1064</v>
      </c>
      <c r="E384" s="3" t="s">
        <v>1535</v>
      </c>
      <c r="F384" s="3"/>
      <c r="G384" s="3" t="s">
        <v>19</v>
      </c>
      <c r="H384" s="3"/>
      <c r="I384" s="3" t="s">
        <v>20</v>
      </c>
      <c r="J384" s="3" t="s">
        <v>28</v>
      </c>
      <c r="K384" s="3" t="s">
        <v>28</v>
      </c>
      <c r="L384" s="3" t="s">
        <v>28</v>
      </c>
      <c r="M384" s="3" t="s">
        <v>1536</v>
      </c>
      <c r="N384" s="3" t="s">
        <v>1537</v>
      </c>
      <c r="O384" s="3" t="s">
        <v>1538</v>
      </c>
      <c r="P384" s="3" t="s">
        <v>48</v>
      </c>
      <c r="Q384" s="3"/>
      <c r="R384" s="3"/>
      <c r="S384" s="3"/>
      <c r="T384" s="3"/>
      <c r="U384" s="3"/>
      <c r="V384" s="3"/>
      <c r="W384" s="3"/>
      <c r="X384" s="3"/>
      <c r="Y384" s="3"/>
      <c r="Z384" s="3"/>
      <c r="AA384" s="3"/>
    </row>
    <row r="385" spans="1:27" ht="14.25" customHeight="1">
      <c r="A385" s="2">
        <v>46178</v>
      </c>
      <c r="B385" s="3" t="s">
        <v>1030</v>
      </c>
      <c r="C385" s="3" t="s">
        <v>1031</v>
      </c>
      <c r="D385" s="3" t="s">
        <v>1061</v>
      </c>
      <c r="E385" s="3" t="s">
        <v>1539</v>
      </c>
      <c r="F385" s="3"/>
      <c r="G385" s="3" t="s">
        <v>1034</v>
      </c>
      <c r="H385" s="3"/>
      <c r="I385" s="3" t="s">
        <v>20</v>
      </c>
      <c r="J385" s="3"/>
      <c r="K385" s="3" t="s">
        <v>21</v>
      </c>
      <c r="L385" s="3" t="s">
        <v>21</v>
      </c>
      <c r="M385" s="3" t="s">
        <v>1540</v>
      </c>
      <c r="N385" s="3" t="s">
        <v>1541</v>
      </c>
      <c r="O385" s="3" t="s">
        <v>1542</v>
      </c>
      <c r="P385" s="3" t="s">
        <v>21</v>
      </c>
      <c r="Q385" s="3"/>
      <c r="R385" s="3"/>
      <c r="S385" s="3"/>
      <c r="T385" s="3"/>
      <c r="U385" s="3"/>
      <c r="V385" s="3"/>
      <c r="W385" s="3"/>
      <c r="X385" s="3"/>
      <c r="Y385" s="3"/>
      <c r="Z385" s="3"/>
      <c r="AA385" s="3"/>
    </row>
    <row r="386" spans="1:27" ht="14.25" customHeight="1">
      <c r="A386" s="2">
        <v>46178</v>
      </c>
      <c r="B386" s="3" t="s">
        <v>15</v>
      </c>
      <c r="C386" s="3" t="s">
        <v>16</v>
      </c>
      <c r="D386" s="3" t="s">
        <v>663</v>
      </c>
      <c r="E386" s="3" t="s">
        <v>1543</v>
      </c>
      <c r="F386" s="3"/>
      <c r="G386" s="3" t="s">
        <v>107</v>
      </c>
      <c r="H386" s="3"/>
      <c r="I386" s="3" t="s">
        <v>20</v>
      </c>
      <c r="J386" s="3"/>
      <c r="K386" s="3" t="s">
        <v>21</v>
      </c>
      <c r="L386" s="3" t="s">
        <v>21</v>
      </c>
      <c r="M386" s="3" t="s">
        <v>1544</v>
      </c>
      <c r="N386" s="3" t="s">
        <v>1343</v>
      </c>
      <c r="O386" s="3" t="s">
        <v>48</v>
      </c>
      <c r="P386" s="3" t="s">
        <v>48</v>
      </c>
      <c r="Q386" s="3"/>
      <c r="R386" s="3"/>
      <c r="S386" s="3"/>
      <c r="T386" s="3"/>
      <c r="U386" s="3"/>
      <c r="V386" s="3"/>
      <c r="W386" s="3"/>
      <c r="X386" s="3"/>
      <c r="Y386" s="3"/>
      <c r="Z386" s="3"/>
      <c r="AA386" s="3"/>
    </row>
    <row r="387" spans="1:27" ht="14.25" customHeight="1">
      <c r="A387" s="2">
        <v>46178</v>
      </c>
      <c r="B387" s="3" t="s">
        <v>1030</v>
      </c>
      <c r="C387" s="3" t="s">
        <v>1031</v>
      </c>
      <c r="D387" s="3" t="s">
        <v>1061</v>
      </c>
      <c r="E387" s="3" t="s">
        <v>1545</v>
      </c>
      <c r="F387" s="3"/>
      <c r="G387" s="3" t="s">
        <v>1034</v>
      </c>
      <c r="H387" s="3"/>
      <c r="I387" s="3" t="s">
        <v>20</v>
      </c>
      <c r="J387" s="3"/>
      <c r="K387" s="3" t="s">
        <v>21</v>
      </c>
      <c r="L387" s="3" t="s">
        <v>21</v>
      </c>
      <c r="M387" s="3" t="s">
        <v>1546</v>
      </c>
      <c r="N387" s="3" t="s">
        <v>1547</v>
      </c>
      <c r="O387" s="3" t="s">
        <v>1548</v>
      </c>
      <c r="P387" s="3" t="s">
        <v>30</v>
      </c>
      <c r="Q387" s="3"/>
      <c r="R387" s="3"/>
      <c r="S387" s="3"/>
      <c r="T387" s="3"/>
      <c r="U387" s="3"/>
      <c r="V387" s="3"/>
      <c r="W387" s="3"/>
      <c r="X387" s="3"/>
      <c r="Y387" s="3"/>
      <c r="Z387" s="3"/>
      <c r="AA387" s="3"/>
    </row>
    <row r="388" spans="1:27" ht="14.25" customHeight="1">
      <c r="A388" s="2">
        <v>46178</v>
      </c>
      <c r="B388" s="3" t="s">
        <v>1030</v>
      </c>
      <c r="C388" s="3" t="s">
        <v>1031</v>
      </c>
      <c r="D388" s="3" t="s">
        <v>1061</v>
      </c>
      <c r="E388" s="3" t="s">
        <v>1549</v>
      </c>
      <c r="F388" s="3"/>
      <c r="G388" s="3" t="s">
        <v>981</v>
      </c>
      <c r="H388" s="3"/>
      <c r="I388" s="3" t="s">
        <v>20</v>
      </c>
      <c r="J388" s="3"/>
      <c r="K388" s="3" t="s">
        <v>21</v>
      </c>
      <c r="L388" s="3" t="s">
        <v>21</v>
      </c>
      <c r="M388" s="3" t="s">
        <v>1550</v>
      </c>
      <c r="N388" s="3" t="s">
        <v>1551</v>
      </c>
      <c r="O388" s="3" t="s">
        <v>1552</v>
      </c>
      <c r="P388" s="3" t="s">
        <v>30</v>
      </c>
      <c r="Q388" s="3"/>
      <c r="R388" s="3"/>
      <c r="S388" s="3"/>
      <c r="T388" s="3"/>
      <c r="U388" s="3"/>
      <c r="V388" s="3"/>
      <c r="W388" s="3"/>
      <c r="X388" s="3"/>
      <c r="Y388" s="3"/>
      <c r="Z388" s="3"/>
      <c r="AA388" s="3"/>
    </row>
    <row r="389" spans="1:27" ht="14.25" customHeight="1">
      <c r="A389" s="2">
        <v>46178</v>
      </c>
      <c r="B389" s="3" t="s">
        <v>15</v>
      </c>
      <c r="C389" s="3" t="s">
        <v>16</v>
      </c>
      <c r="D389" s="3" t="s">
        <v>105</v>
      </c>
      <c r="E389" s="3" t="s">
        <v>1553</v>
      </c>
      <c r="F389" s="3"/>
      <c r="G389" s="3" t="s">
        <v>19</v>
      </c>
      <c r="H389" s="3"/>
      <c r="I389" s="3" t="s">
        <v>20</v>
      </c>
      <c r="J389" s="3"/>
      <c r="K389" s="3" t="s">
        <v>28</v>
      </c>
      <c r="L389" s="3" t="s">
        <v>28</v>
      </c>
      <c r="M389" s="3" t="s">
        <v>1554</v>
      </c>
      <c r="N389" s="3" t="s">
        <v>300</v>
      </c>
      <c r="O389" s="3" t="s">
        <v>300</v>
      </c>
      <c r="P389" s="3" t="s">
        <v>300</v>
      </c>
      <c r="Q389" s="3"/>
      <c r="R389" s="3"/>
      <c r="S389" s="3"/>
      <c r="T389" s="3"/>
      <c r="U389" s="3"/>
      <c r="V389" s="3"/>
      <c r="W389" s="3"/>
      <c r="X389" s="3"/>
      <c r="Y389" s="3"/>
      <c r="Z389" s="3"/>
      <c r="AA389" s="3"/>
    </row>
    <row r="390" spans="1:27" ht="14.25" customHeight="1">
      <c r="A390" s="2">
        <v>46178</v>
      </c>
      <c r="B390" s="3" t="s">
        <v>1030</v>
      </c>
      <c r="C390" s="3" t="s">
        <v>1031</v>
      </c>
      <c r="D390" s="3" t="s">
        <v>1061</v>
      </c>
      <c r="E390" s="3" t="s">
        <v>1555</v>
      </c>
      <c r="F390" s="3"/>
      <c r="G390" s="3" t="s">
        <v>981</v>
      </c>
      <c r="H390" s="3"/>
      <c r="I390" s="3" t="s">
        <v>45</v>
      </c>
      <c r="J390" s="3"/>
      <c r="K390" s="3" t="s">
        <v>21</v>
      </c>
      <c r="L390" s="3" t="s">
        <v>21</v>
      </c>
      <c r="M390" s="3" t="s">
        <v>1556</v>
      </c>
      <c r="N390" s="3" t="s">
        <v>1557</v>
      </c>
      <c r="O390" s="3" t="s">
        <v>1558</v>
      </c>
      <c r="P390" s="3" t="s">
        <v>123</v>
      </c>
      <c r="Q390" s="3"/>
      <c r="R390" s="3"/>
      <c r="S390" s="3"/>
      <c r="T390" s="3"/>
      <c r="U390" s="3"/>
      <c r="V390" s="3"/>
      <c r="W390" s="3"/>
      <c r="X390" s="3"/>
      <c r="Y390" s="3"/>
      <c r="Z390" s="3"/>
      <c r="AA390" s="3"/>
    </row>
    <row r="391" spans="1:27" ht="14.25" customHeight="1">
      <c r="A391" s="2">
        <v>46178</v>
      </c>
      <c r="B391" s="3" t="s">
        <v>15</v>
      </c>
      <c r="C391" s="3" t="s">
        <v>16</v>
      </c>
      <c r="D391" s="3" t="s">
        <v>105</v>
      </c>
      <c r="E391" s="3" t="s">
        <v>1559</v>
      </c>
      <c r="F391" s="3"/>
      <c r="G391" s="3" t="s">
        <v>107</v>
      </c>
      <c r="H391" s="3"/>
      <c r="I391" s="3" t="s">
        <v>20</v>
      </c>
      <c r="J391" s="3"/>
      <c r="K391" s="3" t="s">
        <v>28</v>
      </c>
      <c r="L391" s="3" t="s">
        <v>28</v>
      </c>
      <c r="M391" s="3" t="s">
        <v>1560</v>
      </c>
      <c r="N391" s="3" t="s">
        <v>1561</v>
      </c>
      <c r="O391" s="3" t="s">
        <v>1562</v>
      </c>
      <c r="P391" s="3" t="s">
        <v>48</v>
      </c>
      <c r="Q391" s="3"/>
      <c r="R391" s="3"/>
      <c r="S391" s="3"/>
      <c r="T391" s="3"/>
      <c r="U391" s="3"/>
      <c r="V391" s="3"/>
      <c r="W391" s="3"/>
      <c r="X391" s="3"/>
      <c r="Y391" s="3"/>
      <c r="Z391" s="3"/>
      <c r="AA391" s="3"/>
    </row>
    <row r="392" spans="1:27" ht="14.25" customHeight="1">
      <c r="A392" s="2">
        <v>46178</v>
      </c>
      <c r="B392" s="3" t="s">
        <v>15</v>
      </c>
      <c r="C392" s="3" t="s">
        <v>16</v>
      </c>
      <c r="D392" s="3" t="s">
        <v>177</v>
      </c>
      <c r="E392" s="3" t="s">
        <v>1563</v>
      </c>
      <c r="F392" s="3"/>
      <c r="G392" s="3" t="s">
        <v>19</v>
      </c>
      <c r="H392" s="3"/>
      <c r="I392" s="3" t="s">
        <v>20</v>
      </c>
      <c r="J392" s="3"/>
      <c r="K392" s="3" t="s">
        <v>28</v>
      </c>
      <c r="L392" s="3" t="s">
        <v>28</v>
      </c>
      <c r="M392" s="3" t="s">
        <v>1564</v>
      </c>
      <c r="N392" s="3" t="s">
        <v>1565</v>
      </c>
      <c r="O392" s="3" t="s">
        <v>30</v>
      </c>
      <c r="P392" s="3" t="s">
        <v>30</v>
      </c>
      <c r="Q392" s="3"/>
      <c r="R392" s="3"/>
      <c r="S392" s="3"/>
      <c r="T392" s="3"/>
      <c r="U392" s="3"/>
      <c r="V392" s="3"/>
      <c r="W392" s="3"/>
      <c r="X392" s="3"/>
      <c r="Y392" s="3"/>
      <c r="Z392" s="3"/>
      <c r="AA392" s="3"/>
    </row>
    <row r="393" spans="1:27" ht="14.25" customHeight="1">
      <c r="A393" s="2">
        <v>46178</v>
      </c>
      <c r="B393" s="3" t="s">
        <v>1030</v>
      </c>
      <c r="C393" s="3" t="s">
        <v>1031</v>
      </c>
      <c r="D393" s="3" t="s">
        <v>1032</v>
      </c>
      <c r="E393" s="3" t="s">
        <v>1566</v>
      </c>
      <c r="F393" s="3"/>
      <c r="G393" s="3" t="s">
        <v>1034</v>
      </c>
      <c r="H393" s="3"/>
      <c r="I393" s="3" t="s">
        <v>20</v>
      </c>
      <c r="J393" s="3"/>
      <c r="K393" s="3" t="s">
        <v>21</v>
      </c>
      <c r="L393" s="3" t="s">
        <v>21</v>
      </c>
      <c r="M393" s="3" t="s">
        <v>1567</v>
      </c>
      <c r="N393" s="3" t="s">
        <v>1567</v>
      </c>
      <c r="O393" s="3" t="s">
        <v>1568</v>
      </c>
      <c r="P393" s="3" t="s">
        <v>30</v>
      </c>
      <c r="Q393" s="3"/>
      <c r="R393" s="3"/>
      <c r="S393" s="3"/>
      <c r="T393" s="3"/>
      <c r="U393" s="3"/>
      <c r="V393" s="3"/>
      <c r="W393" s="3"/>
      <c r="X393" s="3"/>
      <c r="Y393" s="3"/>
      <c r="Z393" s="3"/>
      <c r="AA393" s="3"/>
    </row>
    <row r="394" spans="1:27" ht="14.25" customHeight="1">
      <c r="A394" s="2">
        <v>46178</v>
      </c>
      <c r="B394" s="3" t="s">
        <v>15</v>
      </c>
      <c r="C394" s="3" t="s">
        <v>33</v>
      </c>
      <c r="D394" s="3" t="s">
        <v>62</v>
      </c>
      <c r="E394" s="3" t="s">
        <v>1569</v>
      </c>
      <c r="F394" s="3"/>
      <c r="G394" s="3" t="s">
        <v>19</v>
      </c>
      <c r="H394" s="3"/>
      <c r="I394" s="3" t="s">
        <v>20</v>
      </c>
      <c r="J394" s="3"/>
      <c r="K394" s="3" t="s">
        <v>28</v>
      </c>
      <c r="L394" s="3" t="s">
        <v>21</v>
      </c>
      <c r="M394" s="3" t="s">
        <v>1570</v>
      </c>
      <c r="N394" s="3" t="s">
        <v>1571</v>
      </c>
      <c r="O394" s="3" t="s">
        <v>1572</v>
      </c>
      <c r="P394" s="3"/>
      <c r="Q394" s="3"/>
      <c r="R394" s="3"/>
      <c r="S394" s="3"/>
      <c r="T394" s="3"/>
      <c r="U394" s="3"/>
      <c r="V394" s="3"/>
      <c r="W394" s="3"/>
      <c r="X394" s="3"/>
      <c r="Y394" s="3"/>
      <c r="Z394" s="3"/>
      <c r="AA394" s="3"/>
    </row>
    <row r="395" spans="1:27" ht="14.25" customHeight="1">
      <c r="A395" s="2">
        <v>46178</v>
      </c>
      <c r="B395" s="3" t="s">
        <v>1030</v>
      </c>
      <c r="C395" s="3" t="s">
        <v>1031</v>
      </c>
      <c r="D395" s="3" t="s">
        <v>1061</v>
      </c>
      <c r="E395" s="3" t="s">
        <v>1573</v>
      </c>
      <c r="F395" s="3"/>
      <c r="G395" s="3" t="s">
        <v>981</v>
      </c>
      <c r="H395" s="3"/>
      <c r="I395" s="3" t="s">
        <v>20</v>
      </c>
      <c r="J395" s="3"/>
      <c r="K395" s="3" t="s">
        <v>21</v>
      </c>
      <c r="L395" s="3" t="s">
        <v>21</v>
      </c>
      <c r="M395" s="3" t="s">
        <v>1574</v>
      </c>
      <c r="N395" s="3" t="s">
        <v>1575</v>
      </c>
      <c r="O395" s="3" t="s">
        <v>1576</v>
      </c>
      <c r="P395" s="3" t="s">
        <v>1577</v>
      </c>
      <c r="Q395" s="3"/>
      <c r="R395" s="3"/>
      <c r="S395" s="3"/>
      <c r="T395" s="3"/>
      <c r="U395" s="3"/>
      <c r="V395" s="3"/>
      <c r="W395" s="3"/>
      <c r="X395" s="3"/>
      <c r="Y395" s="3"/>
      <c r="Z395" s="3"/>
      <c r="AA395" s="3"/>
    </row>
    <row r="396" spans="1:27" ht="14.25" customHeight="1">
      <c r="A396" s="2">
        <v>46178</v>
      </c>
      <c r="B396" s="3" t="s">
        <v>15</v>
      </c>
      <c r="C396" s="3" t="s">
        <v>39</v>
      </c>
      <c r="D396" s="3" t="s">
        <v>15</v>
      </c>
      <c r="E396" s="3" t="s">
        <v>1578</v>
      </c>
      <c r="F396" s="3"/>
      <c r="G396" s="3" t="s">
        <v>19</v>
      </c>
      <c r="H396" s="3"/>
      <c r="I396" s="3" t="s">
        <v>20</v>
      </c>
      <c r="J396" s="3"/>
      <c r="K396" s="3" t="s">
        <v>28</v>
      </c>
      <c r="L396" s="3" t="s">
        <v>28</v>
      </c>
      <c r="M396" s="3" t="s">
        <v>1579</v>
      </c>
      <c r="N396" s="3" t="s">
        <v>1580</v>
      </c>
      <c r="O396" s="3" t="s">
        <v>1581</v>
      </c>
      <c r="P396" s="3" t="s">
        <v>1582</v>
      </c>
      <c r="Q396" s="3"/>
      <c r="R396" s="3"/>
      <c r="S396" s="3"/>
      <c r="T396" s="3"/>
      <c r="U396" s="3"/>
      <c r="V396" s="3"/>
      <c r="W396" s="3"/>
      <c r="X396" s="3"/>
      <c r="Y396" s="3"/>
      <c r="Z396" s="3"/>
      <c r="AA396" s="3"/>
    </row>
    <row r="397" spans="1:27" ht="14.25" customHeight="1">
      <c r="A397" s="2">
        <v>46178</v>
      </c>
      <c r="B397" s="3" t="s">
        <v>1030</v>
      </c>
      <c r="C397" s="3" t="s">
        <v>1031</v>
      </c>
      <c r="D397" s="3" t="s">
        <v>1061</v>
      </c>
      <c r="E397" s="3" t="s">
        <v>1583</v>
      </c>
      <c r="F397" s="3"/>
      <c r="G397" s="3" t="s">
        <v>1034</v>
      </c>
      <c r="H397" s="3"/>
      <c r="I397" s="3" t="s">
        <v>20</v>
      </c>
      <c r="J397" s="3"/>
      <c r="K397" s="3" t="s">
        <v>28</v>
      </c>
      <c r="L397" s="3" t="s">
        <v>21</v>
      </c>
      <c r="M397" s="3" t="s">
        <v>1584</v>
      </c>
      <c r="N397" s="3" t="s">
        <v>1585</v>
      </c>
      <c r="O397" s="3" t="s">
        <v>1586</v>
      </c>
      <c r="P397" s="3" t="s">
        <v>21</v>
      </c>
      <c r="Q397" s="3"/>
      <c r="R397" s="3"/>
      <c r="S397" s="3"/>
      <c r="T397" s="3"/>
      <c r="U397" s="3"/>
      <c r="V397" s="3"/>
      <c r="W397" s="3"/>
      <c r="X397" s="3"/>
      <c r="Y397" s="3"/>
      <c r="Z397" s="3"/>
      <c r="AA397" s="3"/>
    </row>
    <row r="398" spans="1:27" ht="14.25" customHeight="1">
      <c r="A398" s="2">
        <v>46178</v>
      </c>
      <c r="B398" s="3" t="s">
        <v>72</v>
      </c>
      <c r="C398" s="3" t="s">
        <v>73</v>
      </c>
      <c r="D398" s="3" t="s">
        <v>72</v>
      </c>
      <c r="E398" s="3" t="s">
        <v>1587</v>
      </c>
      <c r="F398" s="3"/>
      <c r="G398" s="3" t="s">
        <v>19</v>
      </c>
      <c r="H398" s="3"/>
      <c r="I398" s="3" t="s">
        <v>45</v>
      </c>
      <c r="J398" s="3"/>
      <c r="K398" s="3" t="s">
        <v>21</v>
      </c>
      <c r="L398" s="3" t="s">
        <v>21</v>
      </c>
      <c r="M398" s="3" t="s">
        <v>1278</v>
      </c>
      <c r="N398" s="3" t="s">
        <v>300</v>
      </c>
      <c r="O398" s="3" t="s">
        <v>300</v>
      </c>
      <c r="P398" s="3"/>
      <c r="Q398" s="3"/>
      <c r="R398" s="3"/>
      <c r="S398" s="3"/>
      <c r="T398" s="3"/>
      <c r="U398" s="3"/>
      <c r="V398" s="3"/>
      <c r="W398" s="3"/>
      <c r="X398" s="3"/>
      <c r="Y398" s="3"/>
      <c r="Z398" s="3"/>
      <c r="AA398" s="3"/>
    </row>
    <row r="399" spans="1:27" ht="14.25" customHeight="1">
      <c r="A399" s="2">
        <v>46178</v>
      </c>
      <c r="B399" s="3" t="s">
        <v>81</v>
      </c>
      <c r="C399" s="3" t="s">
        <v>50</v>
      </c>
      <c r="D399" s="3" t="s">
        <v>196</v>
      </c>
      <c r="E399" s="3" t="s">
        <v>1588</v>
      </c>
      <c r="F399" s="3"/>
      <c r="G399" s="3" t="s">
        <v>19</v>
      </c>
      <c r="H399" s="3"/>
      <c r="I399" s="3" t="s">
        <v>20</v>
      </c>
      <c r="J399" s="3"/>
      <c r="K399" s="3" t="s">
        <v>21</v>
      </c>
      <c r="L399" s="3" t="s">
        <v>21</v>
      </c>
      <c r="M399" s="3" t="s">
        <v>1589</v>
      </c>
      <c r="N399" s="3" t="s">
        <v>1590</v>
      </c>
      <c r="O399" s="3" t="s">
        <v>1591</v>
      </c>
      <c r="P399" s="3" t="s">
        <v>1592</v>
      </c>
      <c r="Q399" s="3"/>
      <c r="R399" s="3"/>
      <c r="S399" s="3"/>
      <c r="T399" s="3"/>
      <c r="U399" s="3"/>
      <c r="V399" s="3"/>
      <c r="W399" s="3"/>
      <c r="X399" s="3"/>
      <c r="Y399" s="3"/>
      <c r="Z399" s="3"/>
      <c r="AA399" s="3"/>
    </row>
    <row r="400" spans="1:27" ht="14.25" customHeight="1">
      <c r="A400" s="2">
        <v>46178</v>
      </c>
      <c r="B400" s="3" t="s">
        <v>81</v>
      </c>
      <c r="C400" s="3" t="s">
        <v>50</v>
      </c>
      <c r="D400" s="3" t="s">
        <v>136</v>
      </c>
      <c r="E400" s="3" t="s">
        <v>1593</v>
      </c>
      <c r="F400" s="3"/>
      <c r="G400" s="3" t="s">
        <v>19</v>
      </c>
      <c r="H400" s="3"/>
      <c r="I400" s="3" t="s">
        <v>20</v>
      </c>
      <c r="J400" s="3"/>
      <c r="K400" s="3" t="s">
        <v>21</v>
      </c>
      <c r="L400" s="3" t="s">
        <v>28</v>
      </c>
      <c r="M400" s="3" t="s">
        <v>1594</v>
      </c>
      <c r="N400" s="3" t="s">
        <v>1595</v>
      </c>
      <c r="O400" s="3" t="s">
        <v>1596</v>
      </c>
      <c r="P400" s="3"/>
      <c r="Q400" s="3"/>
      <c r="R400" s="3"/>
      <c r="S400" s="3"/>
      <c r="T400" s="3"/>
      <c r="U400" s="3"/>
      <c r="V400" s="3"/>
      <c r="W400" s="3"/>
      <c r="X400" s="3"/>
      <c r="Y400" s="3"/>
      <c r="Z400" s="3"/>
      <c r="AA400" s="3"/>
    </row>
    <row r="401" spans="1:27" ht="14.25" customHeight="1">
      <c r="A401" s="2">
        <v>46178</v>
      </c>
      <c r="B401" s="3" t="s">
        <v>15</v>
      </c>
      <c r="C401" s="3" t="s">
        <v>16</v>
      </c>
      <c r="D401" s="3" t="s">
        <v>663</v>
      </c>
      <c r="E401" s="3" t="s">
        <v>1597</v>
      </c>
      <c r="F401" s="3"/>
      <c r="G401" s="3" t="s">
        <v>107</v>
      </c>
      <c r="H401" s="3"/>
      <c r="I401" s="3" t="s">
        <v>20</v>
      </c>
      <c r="J401" s="3"/>
      <c r="K401" s="3" t="s">
        <v>21</v>
      </c>
      <c r="L401" s="3" t="s">
        <v>21</v>
      </c>
      <c r="M401" s="3" t="s">
        <v>1598</v>
      </c>
      <c r="N401" s="3" t="s">
        <v>1599</v>
      </c>
      <c r="O401" s="3" t="s">
        <v>1600</v>
      </c>
      <c r="P401" s="3" t="s">
        <v>48</v>
      </c>
      <c r="Q401" s="3"/>
      <c r="R401" s="3"/>
      <c r="S401" s="3"/>
      <c r="T401" s="3"/>
      <c r="U401" s="3"/>
      <c r="V401" s="3"/>
      <c r="W401" s="3"/>
      <c r="X401" s="3"/>
      <c r="Y401" s="3"/>
      <c r="Z401" s="3"/>
      <c r="AA401" s="3"/>
    </row>
    <row r="402" spans="1:27" ht="14.25" customHeight="1">
      <c r="A402" s="2">
        <v>46178</v>
      </c>
      <c r="B402" s="3" t="s">
        <v>81</v>
      </c>
      <c r="C402" s="3" t="s">
        <v>82</v>
      </c>
      <c r="D402" s="3" t="s">
        <v>95</v>
      </c>
      <c r="E402" s="3" t="s">
        <v>1601</v>
      </c>
      <c r="F402" s="3"/>
      <c r="G402" s="3" t="s">
        <v>19</v>
      </c>
      <c r="H402" s="3"/>
      <c r="I402" s="3" t="s">
        <v>20</v>
      </c>
      <c r="J402" s="3"/>
      <c r="K402" s="3" t="s">
        <v>21</v>
      </c>
      <c r="L402" s="3" t="s">
        <v>21</v>
      </c>
      <c r="M402" s="3" t="s">
        <v>1602</v>
      </c>
      <c r="N402" s="3" t="s">
        <v>1603</v>
      </c>
      <c r="O402" s="3" t="s">
        <v>1604</v>
      </c>
      <c r="P402" s="3" t="s">
        <v>48</v>
      </c>
      <c r="Q402" s="3"/>
      <c r="R402" s="3"/>
      <c r="S402" s="3"/>
      <c r="T402" s="3"/>
      <c r="U402" s="3"/>
      <c r="V402" s="3"/>
      <c r="W402" s="3"/>
      <c r="X402" s="3"/>
      <c r="Y402" s="3"/>
      <c r="Z402" s="3"/>
      <c r="AA402" s="3"/>
    </row>
    <row r="403" spans="1:27" ht="14.25" customHeight="1">
      <c r="A403" s="2">
        <v>46178</v>
      </c>
      <c r="B403" s="3" t="s">
        <v>81</v>
      </c>
      <c r="C403" s="3" t="s">
        <v>82</v>
      </c>
      <c r="D403" s="3" t="s">
        <v>95</v>
      </c>
      <c r="E403" s="3" t="s">
        <v>1605</v>
      </c>
      <c r="F403" s="3"/>
      <c r="G403" s="3" t="s">
        <v>19</v>
      </c>
      <c r="H403" s="3"/>
      <c r="I403" s="3" t="s">
        <v>20</v>
      </c>
      <c r="J403" s="3"/>
      <c r="K403" s="3" t="s">
        <v>21</v>
      </c>
      <c r="L403" s="3" t="s">
        <v>21</v>
      </c>
      <c r="M403" s="3" t="s">
        <v>1606</v>
      </c>
      <c r="N403" s="3" t="s">
        <v>48</v>
      </c>
      <c r="O403" s="3" t="s">
        <v>48</v>
      </c>
      <c r="P403" s="3" t="s">
        <v>48</v>
      </c>
      <c r="Q403" s="3"/>
      <c r="R403" s="3"/>
      <c r="S403" s="3"/>
      <c r="T403" s="3"/>
      <c r="U403" s="3"/>
      <c r="V403" s="3"/>
      <c r="W403" s="3"/>
      <c r="X403" s="3"/>
      <c r="Y403" s="3"/>
      <c r="Z403" s="3"/>
      <c r="AA403" s="3"/>
    </row>
    <row r="404" spans="1:27" ht="14.25" customHeight="1">
      <c r="A404" s="2">
        <v>46178</v>
      </c>
      <c r="B404" s="3" t="s">
        <v>1030</v>
      </c>
      <c r="C404" s="3" t="s">
        <v>1031</v>
      </c>
      <c r="D404" s="3" t="s">
        <v>1032</v>
      </c>
      <c r="E404" s="3" t="s">
        <v>1607</v>
      </c>
      <c r="F404" s="3"/>
      <c r="G404" s="3" t="s">
        <v>1034</v>
      </c>
      <c r="H404" s="3"/>
      <c r="I404" s="3" t="s">
        <v>20</v>
      </c>
      <c r="J404" s="3"/>
      <c r="K404" s="3" t="s">
        <v>28</v>
      </c>
      <c r="L404" s="3" t="s">
        <v>28</v>
      </c>
      <c r="M404" s="3" t="s">
        <v>1608</v>
      </c>
      <c r="N404" s="3" t="s">
        <v>1609</v>
      </c>
      <c r="O404" s="3" t="s">
        <v>1610</v>
      </c>
      <c r="P404" s="3" t="s">
        <v>1611</v>
      </c>
      <c r="Q404" s="3"/>
      <c r="R404" s="3"/>
      <c r="S404" s="3"/>
      <c r="T404" s="3"/>
      <c r="U404" s="3"/>
      <c r="V404" s="3"/>
      <c r="W404" s="3"/>
      <c r="X404" s="3"/>
      <c r="Y404" s="3"/>
      <c r="Z404" s="3"/>
      <c r="AA404" s="3"/>
    </row>
    <row r="405" spans="1:27" ht="14.25" customHeight="1">
      <c r="A405" s="2">
        <v>46178</v>
      </c>
      <c r="B405" s="3" t="s">
        <v>72</v>
      </c>
      <c r="C405" s="3" t="s">
        <v>73</v>
      </c>
      <c r="D405" s="3" t="s">
        <v>72</v>
      </c>
      <c r="E405" s="3" t="s">
        <v>1612</v>
      </c>
      <c r="F405" s="3"/>
      <c r="G405" s="3" t="s">
        <v>19</v>
      </c>
      <c r="H405" s="3"/>
      <c r="I405" s="3" t="s">
        <v>45</v>
      </c>
      <c r="J405" s="3"/>
      <c r="K405" s="3" t="s">
        <v>21</v>
      </c>
      <c r="L405" s="3" t="s">
        <v>21</v>
      </c>
      <c r="M405" s="3" t="s">
        <v>1613</v>
      </c>
      <c r="N405" s="3" t="s">
        <v>1614</v>
      </c>
      <c r="O405" s="3" t="s">
        <v>1615</v>
      </c>
      <c r="P405" s="3" t="s">
        <v>48</v>
      </c>
      <c r="Q405" s="3"/>
      <c r="R405" s="3"/>
      <c r="S405" s="3"/>
      <c r="T405" s="3"/>
      <c r="U405" s="3"/>
      <c r="V405" s="3"/>
      <c r="W405" s="3"/>
      <c r="X405" s="3"/>
      <c r="Y405" s="3"/>
      <c r="Z405" s="3"/>
      <c r="AA405" s="3"/>
    </row>
    <row r="406" spans="1:27" ht="14.25" customHeight="1">
      <c r="A406" s="2">
        <v>46178</v>
      </c>
      <c r="B406" s="3" t="s">
        <v>15</v>
      </c>
      <c r="C406" s="3" t="s">
        <v>39</v>
      </c>
      <c r="D406" s="3" t="s">
        <v>57</v>
      </c>
      <c r="E406" s="3" t="s">
        <v>1616</v>
      </c>
      <c r="F406" s="3"/>
      <c r="G406" s="3" t="s">
        <v>19</v>
      </c>
      <c r="H406" s="3"/>
      <c r="I406" s="3" t="s">
        <v>45</v>
      </c>
      <c r="J406" s="3"/>
      <c r="K406" s="3" t="s">
        <v>28</v>
      </c>
      <c r="L406" s="3" t="s">
        <v>28</v>
      </c>
      <c r="M406" s="3" t="s">
        <v>1617</v>
      </c>
      <c r="N406" s="3" t="s">
        <v>1618</v>
      </c>
      <c r="O406" s="3" t="s">
        <v>1619</v>
      </c>
      <c r="P406" s="3" t="s">
        <v>1620</v>
      </c>
      <c r="Q406" s="3"/>
      <c r="R406" s="3"/>
      <c r="S406" s="3"/>
      <c r="T406" s="3"/>
      <c r="U406" s="3"/>
      <c r="V406" s="3"/>
      <c r="W406" s="3"/>
      <c r="X406" s="3"/>
      <c r="Y406" s="3"/>
      <c r="Z406" s="3"/>
      <c r="AA406" s="3"/>
    </row>
    <row r="407" spans="1:27" ht="14.25" customHeight="1">
      <c r="A407" s="2">
        <v>46178</v>
      </c>
      <c r="B407" s="3" t="s">
        <v>81</v>
      </c>
      <c r="C407" s="3" t="s">
        <v>50</v>
      </c>
      <c r="D407" s="3" t="s">
        <v>196</v>
      </c>
      <c r="E407" s="3" t="s">
        <v>1621</v>
      </c>
      <c r="F407" s="3"/>
      <c r="G407" s="3" t="s">
        <v>19</v>
      </c>
      <c r="H407" s="3"/>
      <c r="I407" s="3" t="s">
        <v>20</v>
      </c>
      <c r="J407" s="3"/>
      <c r="K407" s="3" t="s">
        <v>21</v>
      </c>
      <c r="L407" s="3" t="s">
        <v>21</v>
      </c>
      <c r="M407" s="3" t="s">
        <v>1622</v>
      </c>
      <c r="N407" s="3" t="s">
        <v>1623</v>
      </c>
      <c r="O407" s="3" t="s">
        <v>1624</v>
      </c>
      <c r="P407" s="3"/>
      <c r="Q407" s="3"/>
      <c r="R407" s="3"/>
      <c r="S407" s="3"/>
      <c r="T407" s="3"/>
      <c r="U407" s="3"/>
      <c r="V407" s="3"/>
      <c r="W407" s="3"/>
      <c r="X407" s="3"/>
      <c r="Y407" s="3"/>
      <c r="Z407" s="3"/>
      <c r="AA407" s="3"/>
    </row>
    <row r="408" spans="1:27" ht="14.25" customHeight="1">
      <c r="A408" s="2">
        <v>46178</v>
      </c>
      <c r="B408" s="3" t="s">
        <v>15</v>
      </c>
      <c r="C408" s="3" t="s">
        <v>16</v>
      </c>
      <c r="D408" s="3" t="s">
        <v>177</v>
      </c>
      <c r="E408" s="3" t="s">
        <v>1625</v>
      </c>
      <c r="F408" s="3"/>
      <c r="G408" s="3" t="s">
        <v>19</v>
      </c>
      <c r="H408" s="3"/>
      <c r="I408" s="3" t="s">
        <v>20</v>
      </c>
      <c r="J408" s="3"/>
      <c r="K408" s="3" t="s">
        <v>28</v>
      </c>
      <c r="L408" s="3" t="s">
        <v>28</v>
      </c>
      <c r="M408" s="3" t="s">
        <v>1626</v>
      </c>
      <c r="N408" s="3" t="s">
        <v>1627</v>
      </c>
      <c r="O408" s="3" t="s">
        <v>100</v>
      </c>
      <c r="P408" s="3" t="s">
        <v>1020</v>
      </c>
      <c r="Q408" s="3"/>
      <c r="R408" s="3"/>
      <c r="S408" s="3"/>
      <c r="T408" s="3"/>
      <c r="U408" s="3"/>
      <c r="V408" s="3"/>
      <c r="W408" s="3"/>
      <c r="X408" s="3"/>
      <c r="Y408" s="3"/>
      <c r="Z408" s="3"/>
      <c r="AA408" s="3"/>
    </row>
    <row r="409" spans="1:27" ht="14.25" customHeight="1">
      <c r="A409" s="2">
        <v>46178</v>
      </c>
      <c r="B409" s="3" t="s">
        <v>15</v>
      </c>
      <c r="C409" s="3" t="s">
        <v>16</v>
      </c>
      <c r="D409" s="3" t="s">
        <v>17</v>
      </c>
      <c r="E409" s="3" t="s">
        <v>1628</v>
      </c>
      <c r="F409" s="3"/>
      <c r="G409" s="3" t="s">
        <v>19</v>
      </c>
      <c r="H409" s="3"/>
      <c r="I409" s="3" t="s">
        <v>20</v>
      </c>
      <c r="J409" s="3"/>
      <c r="K409" s="3" t="s">
        <v>21</v>
      </c>
      <c r="L409" s="3" t="s">
        <v>21</v>
      </c>
      <c r="M409" s="3" t="s">
        <v>1629</v>
      </c>
      <c r="N409" s="3" t="s">
        <v>1630</v>
      </c>
      <c r="O409" s="3" t="s">
        <v>1631</v>
      </c>
      <c r="P409" s="3" t="s">
        <v>30</v>
      </c>
      <c r="Q409" s="3"/>
      <c r="R409" s="3"/>
      <c r="S409" s="3"/>
      <c r="T409" s="3"/>
      <c r="U409" s="3"/>
      <c r="V409" s="3"/>
      <c r="W409" s="3"/>
      <c r="X409" s="3"/>
      <c r="Y409" s="3"/>
      <c r="Z409" s="3"/>
      <c r="AA409" s="3"/>
    </row>
    <row r="410" spans="1:27" ht="14.25" customHeight="1">
      <c r="A410" s="2">
        <v>46178</v>
      </c>
      <c r="B410" s="3" t="s">
        <v>15</v>
      </c>
      <c r="C410" s="3" t="s">
        <v>16</v>
      </c>
      <c r="D410" s="3" t="s">
        <v>1064</v>
      </c>
      <c r="E410" s="3" t="s">
        <v>1632</v>
      </c>
      <c r="F410" s="3"/>
      <c r="G410" s="3" t="s">
        <v>19</v>
      </c>
      <c r="H410" s="3"/>
      <c r="I410" s="3" t="s">
        <v>20</v>
      </c>
      <c r="J410" s="3"/>
      <c r="K410" s="3" t="s">
        <v>28</v>
      </c>
      <c r="L410" s="3" t="s">
        <v>28</v>
      </c>
      <c r="M410" s="3" t="s">
        <v>1633</v>
      </c>
      <c r="N410" s="3" t="s">
        <v>1634</v>
      </c>
      <c r="O410" s="3" t="s">
        <v>48</v>
      </c>
      <c r="P410" s="3"/>
      <c r="Q410" s="3"/>
      <c r="R410" s="3"/>
      <c r="S410" s="3"/>
      <c r="T410" s="3"/>
      <c r="U410" s="3"/>
      <c r="V410" s="3"/>
      <c r="W410" s="3"/>
      <c r="X410" s="3"/>
      <c r="Y410" s="3"/>
      <c r="Z410" s="3"/>
      <c r="AA410" s="3"/>
    </row>
    <row r="411" spans="1:27" ht="14.25" customHeight="1">
      <c r="A411" s="2">
        <v>46178</v>
      </c>
      <c r="B411" s="3" t="s">
        <v>1030</v>
      </c>
      <c r="C411" s="3" t="s">
        <v>1031</v>
      </c>
      <c r="D411" s="3" t="s">
        <v>1061</v>
      </c>
      <c r="E411" s="3" t="s">
        <v>1635</v>
      </c>
      <c r="F411" s="3"/>
      <c r="G411" s="3" t="s">
        <v>1034</v>
      </c>
      <c r="H411" s="3"/>
      <c r="I411" s="3" t="s">
        <v>20</v>
      </c>
      <c r="J411" s="3"/>
      <c r="K411" s="3" t="s">
        <v>21</v>
      </c>
      <c r="L411" s="3" t="s">
        <v>21</v>
      </c>
      <c r="M411" s="3" t="s">
        <v>1636</v>
      </c>
      <c r="N411" s="3" t="s">
        <v>1637</v>
      </c>
      <c r="O411" s="3" t="s">
        <v>1638</v>
      </c>
      <c r="P411" s="3" t="s">
        <v>1639</v>
      </c>
      <c r="Q411" s="3"/>
      <c r="R411" s="3"/>
      <c r="S411" s="3"/>
      <c r="T411" s="3"/>
      <c r="U411" s="3"/>
      <c r="V411" s="3"/>
      <c r="W411" s="3"/>
      <c r="X411" s="3"/>
      <c r="Y411" s="3"/>
      <c r="Z411" s="3"/>
      <c r="AA411" s="3"/>
    </row>
    <row r="412" spans="1:27" ht="14.25" customHeight="1">
      <c r="A412" s="2">
        <v>46178</v>
      </c>
      <c r="B412" s="3" t="s">
        <v>15</v>
      </c>
      <c r="C412" s="3" t="s">
        <v>33</v>
      </c>
      <c r="D412" s="3" t="s">
        <v>553</v>
      </c>
      <c r="E412" s="3" t="s">
        <v>1640</v>
      </c>
      <c r="F412" s="3"/>
      <c r="G412" s="3" t="s">
        <v>19</v>
      </c>
      <c r="H412" s="3"/>
      <c r="I412" s="3" t="s">
        <v>20</v>
      </c>
      <c r="J412" s="3"/>
      <c r="K412" s="3" t="s">
        <v>21</v>
      </c>
      <c r="L412" s="3" t="s">
        <v>28</v>
      </c>
      <c r="M412" s="3" t="s">
        <v>1641</v>
      </c>
      <c r="N412" s="3" t="s">
        <v>1642</v>
      </c>
      <c r="O412" s="3" t="s">
        <v>1643</v>
      </c>
      <c r="P412" s="3" t="s">
        <v>123</v>
      </c>
      <c r="Q412" s="3"/>
      <c r="R412" s="3"/>
      <c r="S412" s="3"/>
      <c r="T412" s="3"/>
      <c r="U412" s="3"/>
      <c r="V412" s="3"/>
      <c r="W412" s="3"/>
      <c r="X412" s="3"/>
      <c r="Y412" s="3"/>
      <c r="Z412" s="3"/>
      <c r="AA412" s="3"/>
    </row>
    <row r="413" spans="1:27" ht="14.25" customHeight="1">
      <c r="A413" s="2">
        <v>46178</v>
      </c>
      <c r="B413" s="3" t="s">
        <v>15</v>
      </c>
      <c r="C413" s="3" t="s">
        <v>39</v>
      </c>
      <c r="D413" s="3" t="s">
        <v>57</v>
      </c>
      <c r="E413" s="3" t="s">
        <v>1644</v>
      </c>
      <c r="F413" s="3"/>
      <c r="G413" s="3" t="s">
        <v>19</v>
      </c>
      <c r="H413" s="3"/>
      <c r="I413" s="3" t="s">
        <v>20</v>
      </c>
      <c r="J413" s="3"/>
      <c r="K413" s="3" t="s">
        <v>21</v>
      </c>
      <c r="L413" s="3" t="s">
        <v>21</v>
      </c>
      <c r="M413" s="3" t="s">
        <v>1645</v>
      </c>
      <c r="N413" s="3" t="s">
        <v>1646</v>
      </c>
      <c r="O413" s="3" t="s">
        <v>1647</v>
      </c>
      <c r="P413" s="3"/>
      <c r="Q413" s="3"/>
      <c r="R413" s="3"/>
      <c r="S413" s="3"/>
      <c r="T413" s="3"/>
      <c r="U413" s="3"/>
      <c r="V413" s="3"/>
      <c r="W413" s="3"/>
      <c r="X413" s="3"/>
      <c r="Y413" s="3"/>
      <c r="Z413" s="3"/>
      <c r="AA413" s="3"/>
    </row>
    <row r="414" spans="1:27" ht="14.25" customHeight="1">
      <c r="A414" s="2">
        <v>46178</v>
      </c>
      <c r="B414" s="3" t="s">
        <v>1030</v>
      </c>
      <c r="C414" s="3" t="s">
        <v>1031</v>
      </c>
      <c r="D414" s="3" t="s">
        <v>1061</v>
      </c>
      <c r="E414" s="3" t="s">
        <v>1648</v>
      </c>
      <c r="F414" s="3"/>
      <c r="G414" s="3" t="s">
        <v>981</v>
      </c>
      <c r="H414" s="3"/>
      <c r="I414" s="3" t="s">
        <v>20</v>
      </c>
      <c r="J414" s="3"/>
      <c r="K414" s="3" t="s">
        <v>21</v>
      </c>
      <c r="L414" s="3" t="s">
        <v>21</v>
      </c>
      <c r="M414" s="3" t="s">
        <v>1649</v>
      </c>
      <c r="N414" s="3" t="s">
        <v>30</v>
      </c>
      <c r="O414" s="3" t="s">
        <v>300</v>
      </c>
      <c r="P414" s="3" t="s">
        <v>123</v>
      </c>
      <c r="Q414" s="3"/>
      <c r="R414" s="3"/>
      <c r="S414" s="3"/>
      <c r="T414" s="3"/>
      <c r="U414" s="3"/>
      <c r="V414" s="3"/>
      <c r="W414" s="3"/>
      <c r="X414" s="3"/>
      <c r="Y414" s="3"/>
      <c r="Z414" s="3"/>
      <c r="AA414" s="3"/>
    </row>
    <row r="415" spans="1:27" ht="14.25" customHeight="1">
      <c r="A415" s="2">
        <v>46178</v>
      </c>
      <c r="B415" s="3" t="s">
        <v>15</v>
      </c>
      <c r="C415" s="3" t="s">
        <v>39</v>
      </c>
      <c r="D415" s="3" t="s">
        <v>57</v>
      </c>
      <c r="E415" s="3" t="s">
        <v>1650</v>
      </c>
      <c r="F415" s="3"/>
      <c r="G415" s="3" t="s">
        <v>19</v>
      </c>
      <c r="H415" s="3"/>
      <c r="I415" s="3" t="s">
        <v>45</v>
      </c>
      <c r="J415" s="3"/>
      <c r="K415" s="3" t="s">
        <v>28</v>
      </c>
      <c r="L415" s="3" t="s">
        <v>28</v>
      </c>
      <c r="M415" s="3" t="s">
        <v>1651</v>
      </c>
      <c r="N415" s="3" t="s">
        <v>1652</v>
      </c>
      <c r="O415" s="3" t="s">
        <v>1653</v>
      </c>
      <c r="P415" s="3" t="s">
        <v>123</v>
      </c>
      <c r="Q415" s="3"/>
      <c r="R415" s="3"/>
      <c r="S415" s="3"/>
      <c r="T415" s="3"/>
      <c r="U415" s="3"/>
      <c r="V415" s="3"/>
      <c r="W415" s="3"/>
      <c r="X415" s="3"/>
      <c r="Y415" s="3"/>
      <c r="Z415" s="3"/>
      <c r="AA415" s="3"/>
    </row>
    <row r="416" spans="1:27" ht="14.25" customHeight="1">
      <c r="A416" s="2">
        <v>46178</v>
      </c>
      <c r="B416" s="3" t="s">
        <v>15</v>
      </c>
      <c r="C416" s="3" t="s">
        <v>39</v>
      </c>
      <c r="D416" s="3" t="s">
        <v>57</v>
      </c>
      <c r="E416" s="3" t="s">
        <v>1616</v>
      </c>
      <c r="F416" s="3"/>
      <c r="G416" s="3" t="s">
        <v>19</v>
      </c>
      <c r="H416" s="3"/>
      <c r="I416" s="3" t="s">
        <v>45</v>
      </c>
      <c r="J416" s="3"/>
      <c r="K416" s="3" t="s">
        <v>28</v>
      </c>
      <c r="L416" s="3" t="s">
        <v>28</v>
      </c>
      <c r="M416" s="3" t="s">
        <v>1654</v>
      </c>
      <c r="N416" s="3" t="s">
        <v>1655</v>
      </c>
      <c r="O416" s="3" t="s">
        <v>1619</v>
      </c>
      <c r="P416" s="3" t="s">
        <v>1620</v>
      </c>
      <c r="Q416" s="3"/>
      <c r="R416" s="3"/>
      <c r="S416" s="3"/>
      <c r="T416" s="3"/>
      <c r="U416" s="3"/>
      <c r="V416" s="3"/>
      <c r="W416" s="3"/>
      <c r="X416" s="3"/>
      <c r="Y416" s="3"/>
      <c r="Z416" s="3"/>
      <c r="AA416" s="3"/>
    </row>
    <row r="417" spans="1:27" ht="14.25" customHeight="1">
      <c r="A417" s="2">
        <v>46178</v>
      </c>
      <c r="B417" s="3" t="s">
        <v>72</v>
      </c>
      <c r="C417" s="3" t="s">
        <v>73</v>
      </c>
      <c r="D417" s="3" t="s">
        <v>72</v>
      </c>
      <c r="E417" s="3" t="s">
        <v>1656</v>
      </c>
      <c r="F417" s="3"/>
      <c r="G417" s="3" t="s">
        <v>19</v>
      </c>
      <c r="H417" s="3"/>
      <c r="I417" s="3" t="s">
        <v>45</v>
      </c>
      <c r="J417" s="3"/>
      <c r="K417" s="3" t="s">
        <v>28</v>
      </c>
      <c r="L417" s="3" t="s">
        <v>28</v>
      </c>
      <c r="M417" s="3" t="s">
        <v>1657</v>
      </c>
      <c r="N417" s="3" t="s">
        <v>1658</v>
      </c>
      <c r="O417" s="3" t="s">
        <v>48</v>
      </c>
      <c r="P417" s="3"/>
      <c r="Q417" s="3"/>
      <c r="R417" s="3"/>
      <c r="S417" s="3"/>
      <c r="T417" s="3"/>
      <c r="U417" s="3"/>
      <c r="V417" s="3"/>
      <c r="W417" s="3"/>
      <c r="X417" s="3"/>
      <c r="Y417" s="3"/>
      <c r="Z417" s="3"/>
      <c r="AA417" s="3"/>
    </row>
    <row r="418" spans="1:27" ht="14.25" customHeight="1">
      <c r="A418" s="2">
        <v>46178</v>
      </c>
      <c r="B418" s="3" t="s">
        <v>15</v>
      </c>
      <c r="C418" s="3" t="s">
        <v>16</v>
      </c>
      <c r="D418" s="3" t="s">
        <v>105</v>
      </c>
      <c r="E418" s="3" t="s">
        <v>1659</v>
      </c>
      <c r="F418" s="3"/>
      <c r="G418" s="3" t="s">
        <v>19</v>
      </c>
      <c r="H418" s="3"/>
      <c r="I418" s="3" t="s">
        <v>45</v>
      </c>
      <c r="J418" s="3"/>
      <c r="K418" s="3" t="s">
        <v>21</v>
      </c>
      <c r="L418" s="3" t="s">
        <v>28</v>
      </c>
      <c r="M418" s="3" t="s">
        <v>1660</v>
      </c>
      <c r="N418" s="3" t="s">
        <v>1661</v>
      </c>
      <c r="O418" s="3" t="s">
        <v>100</v>
      </c>
      <c r="P418" s="3" t="s">
        <v>48</v>
      </c>
      <c r="Q418" s="3"/>
      <c r="R418" s="3"/>
      <c r="S418" s="3"/>
      <c r="T418" s="3"/>
      <c r="U418" s="3"/>
      <c r="V418" s="3"/>
      <c r="W418" s="3"/>
      <c r="X418" s="3"/>
      <c r="Y418" s="3"/>
      <c r="Z418" s="3"/>
      <c r="AA418" s="3"/>
    </row>
    <row r="419" spans="1:27" ht="14.25" customHeight="1">
      <c r="A419" s="2">
        <v>46178</v>
      </c>
      <c r="B419" s="3" t="s">
        <v>81</v>
      </c>
      <c r="C419" s="3" t="s">
        <v>50</v>
      </c>
      <c r="D419" s="3" t="s">
        <v>51</v>
      </c>
      <c r="E419" s="3" t="s">
        <v>1662</v>
      </c>
      <c r="F419" s="3"/>
      <c r="G419" s="3" t="s">
        <v>19</v>
      </c>
      <c r="H419" s="3"/>
      <c r="I419" s="3" t="s">
        <v>45</v>
      </c>
      <c r="J419" s="3"/>
      <c r="K419" s="3" t="s">
        <v>28</v>
      </c>
      <c r="L419" s="3" t="s">
        <v>28</v>
      </c>
      <c r="M419" s="3" t="s">
        <v>1663</v>
      </c>
      <c r="N419" s="3" t="s">
        <v>1664</v>
      </c>
      <c r="O419" s="3" t="s">
        <v>1665</v>
      </c>
      <c r="P419" s="3"/>
      <c r="Q419" s="3"/>
      <c r="R419" s="3"/>
      <c r="S419" s="3"/>
      <c r="T419" s="3"/>
      <c r="U419" s="3"/>
      <c r="V419" s="3"/>
      <c r="W419" s="3"/>
      <c r="X419" s="3"/>
      <c r="Y419" s="3"/>
      <c r="Z419" s="3"/>
      <c r="AA419" s="3"/>
    </row>
    <row r="420" spans="1:27" ht="14.25" customHeight="1">
      <c r="A420" s="2">
        <v>46178</v>
      </c>
      <c r="B420" s="3" t="s">
        <v>81</v>
      </c>
      <c r="C420" s="3" t="s">
        <v>50</v>
      </c>
      <c r="D420" s="3" t="s">
        <v>196</v>
      </c>
      <c r="E420" s="3" t="s">
        <v>1666</v>
      </c>
      <c r="F420" s="3"/>
      <c r="G420" s="3" t="s">
        <v>19</v>
      </c>
      <c r="H420" s="3"/>
      <c r="I420" s="3" t="s">
        <v>20</v>
      </c>
      <c r="J420" s="3"/>
      <c r="K420" s="3" t="s">
        <v>21</v>
      </c>
      <c r="L420" s="3" t="s">
        <v>21</v>
      </c>
      <c r="M420" s="3" t="s">
        <v>1667</v>
      </c>
      <c r="N420" s="3" t="s">
        <v>1668</v>
      </c>
      <c r="O420" s="3" t="s">
        <v>1669</v>
      </c>
      <c r="P420" s="3"/>
      <c r="Q420" s="3"/>
      <c r="R420" s="3"/>
      <c r="S420" s="3"/>
      <c r="T420" s="3"/>
      <c r="U420" s="3"/>
      <c r="V420" s="3"/>
      <c r="W420" s="3"/>
      <c r="X420" s="3"/>
      <c r="Y420" s="3"/>
      <c r="Z420" s="3"/>
      <c r="AA420" s="3"/>
    </row>
    <row r="421" spans="1:27" ht="14.25" customHeight="1">
      <c r="A421" s="2">
        <v>46178</v>
      </c>
      <c r="B421" s="3" t="s">
        <v>15</v>
      </c>
      <c r="C421" s="3" t="s">
        <v>33</v>
      </c>
      <c r="D421" s="3" t="s">
        <v>62</v>
      </c>
      <c r="E421" s="3" t="s">
        <v>1670</v>
      </c>
      <c r="F421" s="3"/>
      <c r="G421" s="3" t="s">
        <v>19</v>
      </c>
      <c r="H421" s="3"/>
      <c r="I421" s="3" t="s">
        <v>20</v>
      </c>
      <c r="J421" s="3"/>
      <c r="K421" s="3" t="s">
        <v>21</v>
      </c>
      <c r="L421" s="3" t="s">
        <v>28</v>
      </c>
      <c r="M421" s="3" t="s">
        <v>1671</v>
      </c>
      <c r="N421" s="3" t="s">
        <v>1672</v>
      </c>
      <c r="O421" s="3" t="s">
        <v>1673</v>
      </c>
      <c r="P421" s="3" t="s">
        <v>30</v>
      </c>
      <c r="Q421" s="3"/>
      <c r="R421" s="3"/>
      <c r="S421" s="3"/>
      <c r="T421" s="3"/>
      <c r="U421" s="3"/>
      <c r="V421" s="3"/>
      <c r="W421" s="3"/>
      <c r="X421" s="3"/>
      <c r="Y421" s="3"/>
      <c r="Z421" s="3"/>
      <c r="AA421" s="3"/>
    </row>
    <row r="422" spans="1:27" ht="14.25" customHeight="1">
      <c r="A422" s="2">
        <v>46178</v>
      </c>
      <c r="B422" s="3" t="s">
        <v>81</v>
      </c>
      <c r="C422" s="3" t="s">
        <v>82</v>
      </c>
      <c r="D422" s="3" t="s">
        <v>83</v>
      </c>
      <c r="E422" s="3" t="s">
        <v>1674</v>
      </c>
      <c r="F422" s="3"/>
      <c r="G422" s="3" t="s">
        <v>19</v>
      </c>
      <c r="H422" s="3"/>
      <c r="I422" s="3" t="s">
        <v>20</v>
      </c>
      <c r="J422" s="3"/>
      <c r="K422" s="3" t="s">
        <v>28</v>
      </c>
      <c r="L422" s="3" t="s">
        <v>28</v>
      </c>
      <c r="M422" s="3" t="s">
        <v>1675</v>
      </c>
      <c r="N422" s="3" t="s">
        <v>1676</v>
      </c>
      <c r="O422" s="3" t="s">
        <v>1677</v>
      </c>
      <c r="P422" s="3"/>
      <c r="Q422" s="3"/>
      <c r="R422" s="3"/>
      <c r="S422" s="3"/>
      <c r="T422" s="3"/>
      <c r="U422" s="3"/>
      <c r="V422" s="3"/>
      <c r="W422" s="3"/>
      <c r="X422" s="3"/>
      <c r="Y422" s="3"/>
      <c r="Z422" s="3"/>
      <c r="AA422" s="3"/>
    </row>
    <row r="423" spans="1:27" ht="14.25" customHeight="1">
      <c r="A423" s="2">
        <v>46178</v>
      </c>
      <c r="B423" s="3" t="s">
        <v>15</v>
      </c>
      <c r="C423" s="3" t="s">
        <v>16</v>
      </c>
      <c r="D423" s="3" t="s">
        <v>177</v>
      </c>
      <c r="E423" s="3" t="s">
        <v>1678</v>
      </c>
      <c r="F423" s="3"/>
      <c r="G423" s="3" t="s">
        <v>19</v>
      </c>
      <c r="H423" s="3"/>
      <c r="I423" s="3" t="s">
        <v>20</v>
      </c>
      <c r="J423" s="3"/>
      <c r="K423" s="3" t="s">
        <v>28</v>
      </c>
      <c r="L423" s="3" t="s">
        <v>28</v>
      </c>
      <c r="M423" s="3" t="s">
        <v>1679</v>
      </c>
      <c r="N423" s="3" t="s">
        <v>1680</v>
      </c>
      <c r="O423" s="3" t="s">
        <v>1681</v>
      </c>
      <c r="P423" s="3" t="s">
        <v>48</v>
      </c>
      <c r="Q423" s="3"/>
      <c r="R423" s="3"/>
      <c r="S423" s="3"/>
      <c r="T423" s="3"/>
      <c r="U423" s="3"/>
      <c r="V423" s="3"/>
      <c r="W423" s="3"/>
      <c r="X423" s="3"/>
      <c r="Y423" s="3"/>
      <c r="Z423" s="3"/>
      <c r="AA423" s="3"/>
    </row>
    <row r="424" spans="1:27" ht="14.25" customHeight="1">
      <c r="A424" s="2">
        <v>46178</v>
      </c>
      <c r="B424" s="3" t="s">
        <v>1030</v>
      </c>
      <c r="C424" s="3" t="s">
        <v>1031</v>
      </c>
      <c r="D424" s="3" t="s">
        <v>1061</v>
      </c>
      <c r="E424" s="3" t="s">
        <v>1483</v>
      </c>
      <c r="F424" s="3"/>
      <c r="G424" s="3" t="s">
        <v>1034</v>
      </c>
      <c r="H424" s="3"/>
      <c r="I424" s="3" t="s">
        <v>20</v>
      </c>
      <c r="J424" s="3" t="s">
        <v>28</v>
      </c>
      <c r="K424" s="3" t="s">
        <v>21</v>
      </c>
      <c r="L424" s="3" t="s">
        <v>21</v>
      </c>
      <c r="M424" s="3" t="s">
        <v>1682</v>
      </c>
      <c r="N424" s="3" t="s">
        <v>1683</v>
      </c>
      <c r="O424" s="3" t="s">
        <v>1684</v>
      </c>
      <c r="P424" s="3" t="s">
        <v>1685</v>
      </c>
      <c r="Q424" s="3"/>
      <c r="R424" s="3"/>
      <c r="S424" s="3"/>
      <c r="T424" s="3"/>
      <c r="U424" s="3"/>
      <c r="V424" s="3"/>
      <c r="W424" s="3"/>
      <c r="X424" s="3"/>
      <c r="Y424" s="3"/>
      <c r="Z424" s="3"/>
      <c r="AA424" s="3"/>
    </row>
    <row r="425" spans="1:27" ht="14.25" customHeight="1">
      <c r="A425" s="2">
        <v>46178</v>
      </c>
      <c r="B425" s="3" t="s">
        <v>1030</v>
      </c>
      <c r="C425" s="3" t="s">
        <v>1031</v>
      </c>
      <c r="D425" s="3" t="s">
        <v>1061</v>
      </c>
      <c r="E425" s="3" t="s">
        <v>1686</v>
      </c>
      <c r="F425" s="3"/>
      <c r="G425" s="3" t="s">
        <v>1034</v>
      </c>
      <c r="H425" s="3"/>
      <c r="I425" s="3" t="s">
        <v>20</v>
      </c>
      <c r="J425" s="3"/>
      <c r="K425" s="3" t="s">
        <v>21</v>
      </c>
      <c r="L425" s="3" t="s">
        <v>21</v>
      </c>
      <c r="M425" s="3" t="s">
        <v>1687</v>
      </c>
      <c r="N425" s="3" t="s">
        <v>1688</v>
      </c>
      <c r="O425" s="3" t="s">
        <v>1689</v>
      </c>
      <c r="P425" s="3" t="s">
        <v>21</v>
      </c>
      <c r="Q425" s="3"/>
      <c r="R425" s="3"/>
      <c r="S425" s="3"/>
      <c r="T425" s="3"/>
      <c r="U425" s="3"/>
      <c r="V425" s="3"/>
      <c r="W425" s="3"/>
      <c r="X425" s="3"/>
      <c r="Y425" s="3"/>
      <c r="Z425" s="3"/>
      <c r="AA425" s="3"/>
    </row>
    <row r="426" spans="1:27" ht="14.25" customHeight="1">
      <c r="A426" s="2">
        <v>46178</v>
      </c>
      <c r="B426" s="3" t="s">
        <v>1030</v>
      </c>
      <c r="C426" s="3" t="s">
        <v>1031</v>
      </c>
      <c r="D426" s="3" t="s">
        <v>1061</v>
      </c>
      <c r="E426" s="3" t="s">
        <v>1214</v>
      </c>
      <c r="F426" s="3"/>
      <c r="G426" s="3" t="s">
        <v>981</v>
      </c>
      <c r="H426" s="3"/>
      <c r="I426" s="3" t="s">
        <v>45</v>
      </c>
      <c r="J426" s="3"/>
      <c r="K426" s="3" t="s">
        <v>21</v>
      </c>
      <c r="L426" s="3" t="s">
        <v>21</v>
      </c>
      <c r="M426" s="3" t="s">
        <v>1690</v>
      </c>
      <c r="N426" s="3" t="s">
        <v>724</v>
      </c>
      <c r="O426" s="3" t="s">
        <v>55</v>
      </c>
      <c r="P426" s="3" t="s">
        <v>30</v>
      </c>
      <c r="Q426" s="3"/>
      <c r="R426" s="3"/>
      <c r="S426" s="3"/>
      <c r="T426" s="3"/>
      <c r="U426" s="3"/>
      <c r="V426" s="3"/>
      <c r="W426" s="3"/>
      <c r="X426" s="3"/>
      <c r="Y426" s="3"/>
      <c r="Z426" s="3"/>
      <c r="AA426" s="3"/>
    </row>
    <row r="427" spans="1:27" ht="14.25" customHeight="1">
      <c r="A427" s="2">
        <v>46178</v>
      </c>
      <c r="B427" s="3" t="s">
        <v>15</v>
      </c>
      <c r="C427" s="3" t="s">
        <v>16</v>
      </c>
      <c r="D427" s="3" t="s">
        <v>177</v>
      </c>
      <c r="E427" s="3" t="s">
        <v>1691</v>
      </c>
      <c r="F427" s="3"/>
      <c r="G427" s="3" t="s">
        <v>19</v>
      </c>
      <c r="H427" s="3"/>
      <c r="I427" s="3" t="s">
        <v>20</v>
      </c>
      <c r="J427" s="3"/>
      <c r="K427" s="3" t="s">
        <v>21</v>
      </c>
      <c r="L427" s="3" t="s">
        <v>21</v>
      </c>
      <c r="M427" s="3" t="s">
        <v>1692</v>
      </c>
      <c r="N427" s="3" t="s">
        <v>1693</v>
      </c>
      <c r="O427" s="3" t="s">
        <v>1694</v>
      </c>
      <c r="P427" s="3" t="s">
        <v>30</v>
      </c>
      <c r="Q427" s="3"/>
      <c r="R427" s="3"/>
      <c r="S427" s="3"/>
      <c r="T427" s="3"/>
      <c r="U427" s="3"/>
      <c r="V427" s="3"/>
      <c r="W427" s="3"/>
      <c r="X427" s="3"/>
      <c r="Y427" s="3"/>
      <c r="Z427" s="3"/>
      <c r="AA427" s="3"/>
    </row>
    <row r="428" spans="1:27" ht="14.25" customHeight="1">
      <c r="A428" s="2">
        <v>46178</v>
      </c>
      <c r="B428" s="3" t="s">
        <v>1073</v>
      </c>
      <c r="C428" s="3" t="s">
        <v>1074</v>
      </c>
      <c r="D428" s="3" t="s">
        <v>1075</v>
      </c>
      <c r="E428" s="3" t="s">
        <v>1695</v>
      </c>
      <c r="F428" s="3"/>
      <c r="G428" s="3" t="s">
        <v>981</v>
      </c>
      <c r="H428" s="3"/>
      <c r="I428" s="3" t="s">
        <v>20</v>
      </c>
      <c r="J428" s="3"/>
      <c r="K428" s="3" t="s">
        <v>21</v>
      </c>
      <c r="L428" s="3" t="s">
        <v>28</v>
      </c>
      <c r="M428" s="3" t="s">
        <v>1696</v>
      </c>
      <c r="N428" s="3" t="s">
        <v>1697</v>
      </c>
      <c r="O428" s="3" t="s">
        <v>1698</v>
      </c>
      <c r="P428" s="3" t="s">
        <v>1699</v>
      </c>
      <c r="Q428" s="3"/>
      <c r="R428" s="3"/>
      <c r="S428" s="3"/>
      <c r="T428" s="3"/>
      <c r="U428" s="3"/>
      <c r="V428" s="3"/>
      <c r="W428" s="3"/>
      <c r="X428" s="3"/>
      <c r="Y428" s="3"/>
      <c r="Z428" s="3"/>
      <c r="AA428" s="3"/>
    </row>
    <row r="429" spans="1:27" ht="14.25" customHeight="1">
      <c r="A429" s="2">
        <v>46178</v>
      </c>
      <c r="B429" s="3" t="s">
        <v>15</v>
      </c>
      <c r="C429" s="3" t="s">
        <v>16</v>
      </c>
      <c r="D429" s="3" t="s">
        <v>177</v>
      </c>
      <c r="E429" s="3" t="s">
        <v>1700</v>
      </c>
      <c r="F429" s="3"/>
      <c r="G429" s="3" t="s">
        <v>19</v>
      </c>
      <c r="H429" s="3"/>
      <c r="I429" s="3" t="s">
        <v>20</v>
      </c>
      <c r="J429" s="3"/>
      <c r="K429" s="3" t="s">
        <v>28</v>
      </c>
      <c r="L429" s="3" t="s">
        <v>28</v>
      </c>
      <c r="M429" s="3" t="s">
        <v>1701</v>
      </c>
      <c r="N429" s="3" t="s">
        <v>1702</v>
      </c>
      <c r="O429" s="3" t="s">
        <v>1703</v>
      </c>
      <c r="P429" s="3" t="s">
        <v>1020</v>
      </c>
      <c r="Q429" s="3"/>
      <c r="R429" s="3"/>
      <c r="S429" s="3"/>
      <c r="T429" s="3"/>
      <c r="U429" s="3"/>
      <c r="V429" s="3"/>
      <c r="W429" s="3"/>
      <c r="X429" s="3"/>
      <c r="Y429" s="3"/>
      <c r="Z429" s="3"/>
      <c r="AA429" s="3"/>
    </row>
    <row r="430" spans="1:27" ht="14.25" customHeight="1">
      <c r="A430" s="2">
        <v>46178</v>
      </c>
      <c r="B430" s="3" t="s">
        <v>81</v>
      </c>
      <c r="C430" s="3" t="s">
        <v>50</v>
      </c>
      <c r="D430" s="3" t="s">
        <v>196</v>
      </c>
      <c r="E430" s="3" t="s">
        <v>1704</v>
      </c>
      <c r="F430" s="3"/>
      <c r="G430" s="3" t="s">
        <v>981</v>
      </c>
      <c r="H430" s="3"/>
      <c r="I430" s="3" t="s">
        <v>20</v>
      </c>
      <c r="J430" s="3"/>
      <c r="K430" s="3" t="s">
        <v>28</v>
      </c>
      <c r="L430" s="3" t="s">
        <v>28</v>
      </c>
      <c r="M430" s="3" t="s">
        <v>1705</v>
      </c>
      <c r="N430" s="3" t="s">
        <v>1706</v>
      </c>
      <c r="O430" s="3" t="s">
        <v>1707</v>
      </c>
      <c r="P430" s="3" t="s">
        <v>1708</v>
      </c>
      <c r="Q430" s="3"/>
      <c r="R430" s="3"/>
      <c r="S430" s="3"/>
      <c r="T430" s="3"/>
      <c r="U430" s="3"/>
      <c r="V430" s="3"/>
      <c r="W430" s="3"/>
      <c r="X430" s="3"/>
      <c r="Y430" s="3"/>
      <c r="Z430" s="3"/>
      <c r="AA430" s="3"/>
    </row>
    <row r="431" spans="1:27" ht="14.25" customHeight="1">
      <c r="A431" s="2">
        <v>46178</v>
      </c>
      <c r="B431" s="3" t="s">
        <v>1030</v>
      </c>
      <c r="C431" s="3" t="s">
        <v>1031</v>
      </c>
      <c r="D431" s="3" t="s">
        <v>1061</v>
      </c>
      <c r="E431" s="3" t="s">
        <v>1709</v>
      </c>
      <c r="F431" s="3"/>
      <c r="G431" s="3" t="s">
        <v>1034</v>
      </c>
      <c r="H431" s="3"/>
      <c r="I431" s="3" t="s">
        <v>20</v>
      </c>
      <c r="J431" s="3" t="s">
        <v>21</v>
      </c>
      <c r="K431" s="3" t="s">
        <v>21</v>
      </c>
      <c r="L431" s="3" t="s">
        <v>21</v>
      </c>
      <c r="M431" s="3" t="s">
        <v>1710</v>
      </c>
      <c r="N431" s="3" t="s">
        <v>1711</v>
      </c>
      <c r="O431" s="3" t="s">
        <v>1712</v>
      </c>
      <c r="P431" s="3" t="s">
        <v>48</v>
      </c>
      <c r="Q431" s="3"/>
      <c r="R431" s="3"/>
      <c r="S431" s="3"/>
      <c r="T431" s="3"/>
      <c r="U431" s="3"/>
      <c r="V431" s="3"/>
      <c r="W431" s="3"/>
      <c r="X431" s="3"/>
      <c r="Y431" s="3"/>
      <c r="Z431" s="3"/>
      <c r="AA431" s="3"/>
    </row>
    <row r="432" spans="1:27" ht="14.25" customHeight="1">
      <c r="A432" s="2">
        <v>46178</v>
      </c>
      <c r="B432" s="3" t="s">
        <v>49</v>
      </c>
      <c r="C432" s="3" t="s">
        <v>50</v>
      </c>
      <c r="D432" s="3" t="s">
        <v>51</v>
      </c>
      <c r="E432" s="3" t="s">
        <v>1713</v>
      </c>
      <c r="F432" s="3"/>
      <c r="G432" s="3" t="s">
        <v>19</v>
      </c>
      <c r="H432" s="3"/>
      <c r="I432" s="3" t="s">
        <v>45</v>
      </c>
      <c r="J432" s="3"/>
      <c r="K432" s="3" t="s">
        <v>28</v>
      </c>
      <c r="L432" s="3" t="s">
        <v>28</v>
      </c>
      <c r="M432" s="3" t="s">
        <v>1714</v>
      </c>
      <c r="N432" s="3" t="s">
        <v>48</v>
      </c>
      <c r="O432" s="3" t="s">
        <v>1715</v>
      </c>
      <c r="P432" s="3"/>
      <c r="Q432" s="3"/>
      <c r="R432" s="3"/>
      <c r="S432" s="3"/>
      <c r="T432" s="3"/>
      <c r="U432" s="3"/>
      <c r="V432" s="3"/>
      <c r="W432" s="3"/>
      <c r="X432" s="3"/>
      <c r="Y432" s="3"/>
      <c r="Z432" s="3"/>
      <c r="AA432" s="3"/>
    </row>
    <row r="433" spans="1:27" ht="14.25" customHeight="1">
      <c r="A433" s="2">
        <v>46178</v>
      </c>
      <c r="B433" s="3" t="s">
        <v>15</v>
      </c>
      <c r="C433" s="3" t="s">
        <v>39</v>
      </c>
      <c r="D433" s="3" t="s">
        <v>57</v>
      </c>
      <c r="E433" s="3" t="s">
        <v>1716</v>
      </c>
      <c r="F433" s="3"/>
      <c r="G433" s="3" t="s">
        <v>19</v>
      </c>
      <c r="H433" s="3"/>
      <c r="I433" s="3" t="s">
        <v>45</v>
      </c>
      <c r="J433" s="3"/>
      <c r="K433" s="3" t="s">
        <v>28</v>
      </c>
      <c r="L433" s="3" t="s">
        <v>28</v>
      </c>
      <c r="M433" s="3" t="s">
        <v>1717</v>
      </c>
      <c r="N433" s="3" t="s">
        <v>1718</v>
      </c>
      <c r="O433" s="3" t="s">
        <v>1719</v>
      </c>
      <c r="P433" s="3" t="s">
        <v>300</v>
      </c>
      <c r="Q433" s="3"/>
      <c r="R433" s="3"/>
      <c r="S433" s="3"/>
      <c r="T433" s="3"/>
      <c r="U433" s="3"/>
      <c r="V433" s="3"/>
      <c r="W433" s="3"/>
      <c r="X433" s="3"/>
      <c r="Y433" s="3"/>
      <c r="Z433" s="3"/>
      <c r="AA433" s="3"/>
    </row>
    <row r="434" spans="1:27" ht="14.25" customHeight="1">
      <c r="A434" s="2">
        <v>46178</v>
      </c>
      <c r="B434" s="3" t="s">
        <v>15</v>
      </c>
      <c r="C434" s="3" t="s">
        <v>33</v>
      </c>
      <c r="D434" s="3" t="s">
        <v>553</v>
      </c>
      <c r="E434" s="3" t="s">
        <v>1720</v>
      </c>
      <c r="F434" s="3"/>
      <c r="G434" s="3" t="s">
        <v>19</v>
      </c>
      <c r="H434" s="3"/>
      <c r="I434" s="3" t="s">
        <v>20</v>
      </c>
      <c r="J434" s="3"/>
      <c r="K434" s="3" t="s">
        <v>28</v>
      </c>
      <c r="L434" s="3" t="s">
        <v>28</v>
      </c>
      <c r="M434" s="3" t="s">
        <v>1721</v>
      </c>
      <c r="N434" s="3" t="s">
        <v>1722</v>
      </c>
      <c r="O434" s="3" t="s">
        <v>1723</v>
      </c>
      <c r="P434" s="3" t="s">
        <v>30</v>
      </c>
      <c r="Q434" s="3"/>
      <c r="R434" s="3"/>
      <c r="S434" s="3"/>
      <c r="T434" s="3"/>
      <c r="U434" s="3"/>
      <c r="V434" s="3"/>
      <c r="W434" s="3"/>
      <c r="X434" s="3"/>
      <c r="Y434" s="3"/>
      <c r="Z434" s="3"/>
      <c r="AA434" s="3"/>
    </row>
    <row r="435" spans="1:27" ht="14.25" customHeight="1">
      <c r="A435" s="2">
        <v>46178</v>
      </c>
      <c r="B435" s="3" t="s">
        <v>81</v>
      </c>
      <c r="C435" s="3" t="s">
        <v>50</v>
      </c>
      <c r="D435" s="3" t="s">
        <v>51</v>
      </c>
      <c r="E435" s="3" t="s">
        <v>1724</v>
      </c>
      <c r="F435" s="3"/>
      <c r="G435" s="3" t="s">
        <v>19</v>
      </c>
      <c r="H435" s="3"/>
      <c r="I435" s="3" t="s">
        <v>20</v>
      </c>
      <c r="J435" s="3"/>
      <c r="K435" s="3" t="s">
        <v>28</v>
      </c>
      <c r="L435" s="3" t="s">
        <v>28</v>
      </c>
      <c r="M435" s="3" t="s">
        <v>1725</v>
      </c>
      <c r="N435" s="3" t="s">
        <v>1726</v>
      </c>
      <c r="O435" s="3" t="s">
        <v>1727</v>
      </c>
      <c r="P435" s="3" t="s">
        <v>1728</v>
      </c>
      <c r="Q435" s="3"/>
      <c r="R435" s="3"/>
      <c r="S435" s="3"/>
      <c r="T435" s="3"/>
      <c r="U435" s="3"/>
      <c r="V435" s="3"/>
      <c r="W435" s="3"/>
      <c r="X435" s="3"/>
      <c r="Y435" s="3"/>
      <c r="Z435" s="3"/>
      <c r="AA435" s="3"/>
    </row>
    <row r="436" spans="1:27" ht="14.25" customHeight="1">
      <c r="A436" s="2">
        <v>46178</v>
      </c>
      <c r="B436" s="3" t="s">
        <v>150</v>
      </c>
      <c r="C436" s="3" t="s">
        <v>151</v>
      </c>
      <c r="D436" s="3" t="s">
        <v>150</v>
      </c>
      <c r="E436" s="3" t="s">
        <v>1729</v>
      </c>
      <c r="F436" s="3"/>
      <c r="G436" s="3" t="s">
        <v>19</v>
      </c>
      <c r="H436" s="3"/>
      <c r="I436" s="3" t="s">
        <v>45</v>
      </c>
      <c r="J436" s="3"/>
      <c r="K436" s="3" t="s">
        <v>21</v>
      </c>
      <c r="L436" s="3" t="s">
        <v>21</v>
      </c>
      <c r="M436" s="3" t="s">
        <v>1730</v>
      </c>
      <c r="N436" s="3" t="s">
        <v>48</v>
      </c>
      <c r="O436" s="3" t="s">
        <v>1731</v>
      </c>
      <c r="P436" s="3" t="s">
        <v>48</v>
      </c>
      <c r="Q436" s="3"/>
      <c r="R436" s="3"/>
      <c r="S436" s="3"/>
      <c r="T436" s="3"/>
      <c r="U436" s="3"/>
      <c r="V436" s="3"/>
      <c r="W436" s="3"/>
      <c r="X436" s="3"/>
      <c r="Y436" s="3"/>
      <c r="Z436" s="3"/>
      <c r="AA436" s="3"/>
    </row>
    <row r="437" spans="1:27" ht="14.25" customHeight="1">
      <c r="A437" s="2">
        <v>46178</v>
      </c>
      <c r="B437" s="3" t="s">
        <v>49</v>
      </c>
      <c r="C437" s="3" t="s">
        <v>50</v>
      </c>
      <c r="D437" s="3" t="s">
        <v>51</v>
      </c>
      <c r="E437" s="3" t="s">
        <v>1732</v>
      </c>
      <c r="F437" s="3"/>
      <c r="G437" s="3" t="s">
        <v>19</v>
      </c>
      <c r="H437" s="3"/>
      <c r="I437" s="3" t="s">
        <v>20</v>
      </c>
      <c r="J437" s="3"/>
      <c r="K437" s="3" t="s">
        <v>21</v>
      </c>
      <c r="L437" s="3" t="s">
        <v>21</v>
      </c>
      <c r="M437" s="3" t="s">
        <v>1733</v>
      </c>
      <c r="N437" s="3" t="s">
        <v>1734</v>
      </c>
      <c r="O437" s="3" t="s">
        <v>48</v>
      </c>
      <c r="P437" s="3" t="s">
        <v>48</v>
      </c>
      <c r="Q437" s="3"/>
      <c r="R437" s="3"/>
      <c r="S437" s="3"/>
      <c r="T437" s="3"/>
      <c r="U437" s="3"/>
      <c r="V437" s="3"/>
      <c r="W437" s="3"/>
      <c r="X437" s="3"/>
      <c r="Y437" s="3"/>
      <c r="Z437" s="3"/>
      <c r="AA437" s="3"/>
    </row>
    <row r="438" spans="1:27" ht="14.25" customHeight="1">
      <c r="A438" s="2">
        <v>46178</v>
      </c>
      <c r="B438" s="3" t="s">
        <v>81</v>
      </c>
      <c r="C438" s="3" t="s">
        <v>50</v>
      </c>
      <c r="D438" s="3" t="s">
        <v>51</v>
      </c>
      <c r="E438" s="3" t="s">
        <v>1724</v>
      </c>
      <c r="F438" s="3"/>
      <c r="G438" s="3" t="s">
        <v>19</v>
      </c>
      <c r="H438" s="3"/>
      <c r="I438" s="3" t="s">
        <v>20</v>
      </c>
      <c r="J438" s="3"/>
      <c r="K438" s="3" t="s">
        <v>28</v>
      </c>
      <c r="L438" s="3" t="s">
        <v>28</v>
      </c>
      <c r="M438" s="3" t="s">
        <v>1725</v>
      </c>
      <c r="N438" s="3" t="s">
        <v>1735</v>
      </c>
      <c r="O438" s="3" t="s">
        <v>1727</v>
      </c>
      <c r="P438" s="3" t="s">
        <v>1728</v>
      </c>
      <c r="Q438" s="3"/>
      <c r="R438" s="3"/>
      <c r="S438" s="3"/>
      <c r="T438" s="3"/>
      <c r="U438" s="3"/>
      <c r="V438" s="3"/>
      <c r="W438" s="3"/>
      <c r="X438" s="3"/>
      <c r="Y438" s="3"/>
      <c r="Z438" s="3"/>
      <c r="AA438" s="3"/>
    </row>
    <row r="439" spans="1:27" ht="14.25" customHeight="1">
      <c r="A439" s="2">
        <v>46178</v>
      </c>
      <c r="B439" s="3" t="s">
        <v>1030</v>
      </c>
      <c r="C439" s="3" t="s">
        <v>1031</v>
      </c>
      <c r="D439" s="3" t="s">
        <v>1061</v>
      </c>
      <c r="E439" s="3" t="s">
        <v>1736</v>
      </c>
      <c r="F439" s="3"/>
      <c r="G439" s="3" t="s">
        <v>981</v>
      </c>
      <c r="H439" s="3"/>
      <c r="I439" s="3" t="s">
        <v>20</v>
      </c>
      <c r="J439" s="3"/>
      <c r="K439" s="3" t="s">
        <v>21</v>
      </c>
      <c r="L439" s="3" t="s">
        <v>21</v>
      </c>
      <c r="M439" s="3" t="s">
        <v>1737</v>
      </c>
      <c r="N439" s="3" t="s">
        <v>1738</v>
      </c>
      <c r="O439" s="3" t="s">
        <v>1739</v>
      </c>
      <c r="P439" s="3" t="s">
        <v>48</v>
      </c>
      <c r="Q439" s="3"/>
      <c r="R439" s="3"/>
      <c r="S439" s="3"/>
      <c r="T439" s="3"/>
      <c r="U439" s="3"/>
      <c r="V439" s="3"/>
      <c r="W439" s="3"/>
      <c r="X439" s="3"/>
      <c r="Y439" s="3"/>
      <c r="Z439" s="3"/>
      <c r="AA439" s="3"/>
    </row>
    <row r="440" spans="1:27" ht="14.25" customHeight="1">
      <c r="A440" s="2">
        <v>46178</v>
      </c>
      <c r="B440" s="3" t="s">
        <v>15</v>
      </c>
      <c r="C440" s="3" t="s">
        <v>16</v>
      </c>
      <c r="D440" s="3" t="s">
        <v>663</v>
      </c>
      <c r="E440" s="3" t="s">
        <v>1740</v>
      </c>
      <c r="F440" s="3"/>
      <c r="G440" s="3" t="s">
        <v>107</v>
      </c>
      <c r="H440" s="3"/>
      <c r="I440" s="3" t="s">
        <v>20</v>
      </c>
      <c r="J440" s="3"/>
      <c r="K440" s="3" t="s">
        <v>21</v>
      </c>
      <c r="L440" s="3" t="s">
        <v>21</v>
      </c>
      <c r="M440" s="3" t="s">
        <v>1741</v>
      </c>
      <c r="N440" s="3" t="s">
        <v>1742</v>
      </c>
      <c r="O440" s="3" t="s">
        <v>1743</v>
      </c>
      <c r="P440" s="3" t="s">
        <v>48</v>
      </c>
      <c r="Q440" s="3"/>
      <c r="R440" s="3"/>
      <c r="S440" s="3"/>
      <c r="T440" s="3"/>
      <c r="U440" s="3"/>
      <c r="V440" s="3"/>
      <c r="W440" s="3"/>
      <c r="X440" s="3"/>
      <c r="Y440" s="3"/>
      <c r="Z440" s="3"/>
      <c r="AA440" s="3"/>
    </row>
    <row r="441" spans="1:27" ht="14.25" customHeight="1">
      <c r="A441" s="2">
        <v>46178</v>
      </c>
      <c r="B441" s="3" t="s">
        <v>111</v>
      </c>
      <c r="C441" s="3" t="s">
        <v>112</v>
      </c>
      <c r="D441" s="3" t="s">
        <v>113</v>
      </c>
      <c r="E441" s="3" t="s">
        <v>1744</v>
      </c>
      <c r="F441" s="3"/>
      <c r="G441" s="3" t="s">
        <v>19</v>
      </c>
      <c r="H441" s="3"/>
      <c r="I441" s="3" t="s">
        <v>45</v>
      </c>
      <c r="J441" s="3"/>
      <c r="K441" s="3" t="s">
        <v>28</v>
      </c>
      <c r="L441" s="3" t="s">
        <v>28</v>
      </c>
      <c r="M441" s="3" t="s">
        <v>1745</v>
      </c>
      <c r="N441" s="3" t="s">
        <v>30</v>
      </c>
      <c r="O441" s="3" t="s">
        <v>48</v>
      </c>
      <c r="P441" s="3" t="s">
        <v>1746</v>
      </c>
      <c r="Q441" s="3"/>
      <c r="R441" s="3"/>
      <c r="S441" s="3"/>
      <c r="T441" s="3"/>
      <c r="U441" s="3"/>
      <c r="V441" s="3"/>
      <c r="W441" s="3"/>
      <c r="X441" s="3"/>
      <c r="Y441" s="3"/>
      <c r="Z441" s="3"/>
      <c r="AA441" s="3"/>
    </row>
    <row r="442" spans="1:27" ht="14.25" customHeight="1">
      <c r="A442" s="2">
        <v>46178</v>
      </c>
      <c r="B442" s="3" t="s">
        <v>15</v>
      </c>
      <c r="C442" s="3" t="s">
        <v>16</v>
      </c>
      <c r="D442" s="3" t="s">
        <v>105</v>
      </c>
      <c r="E442" s="3" t="s">
        <v>1747</v>
      </c>
      <c r="F442" s="3"/>
      <c r="G442" s="3" t="s">
        <v>19</v>
      </c>
      <c r="H442" s="3"/>
      <c r="I442" s="3" t="s">
        <v>20</v>
      </c>
      <c r="J442" s="3"/>
      <c r="K442" s="3" t="s">
        <v>28</v>
      </c>
      <c r="L442" s="3" t="s">
        <v>28</v>
      </c>
      <c r="M442" s="3" t="s">
        <v>1748</v>
      </c>
      <c r="N442" s="3" t="s">
        <v>30</v>
      </c>
      <c r="O442" s="3" t="s">
        <v>1749</v>
      </c>
      <c r="P442" s="3" t="s">
        <v>30</v>
      </c>
      <c r="Q442" s="3"/>
      <c r="R442" s="3"/>
      <c r="S442" s="3"/>
      <c r="T442" s="3"/>
      <c r="U442" s="3"/>
      <c r="V442" s="3"/>
      <c r="W442" s="3"/>
      <c r="X442" s="3"/>
      <c r="Y442" s="3"/>
      <c r="Z442" s="3"/>
      <c r="AA442" s="3"/>
    </row>
    <row r="443" spans="1:27" ht="14.25" customHeight="1">
      <c r="A443" s="2">
        <v>46178</v>
      </c>
      <c r="B443" s="3" t="s">
        <v>81</v>
      </c>
      <c r="C443" s="3" t="s">
        <v>82</v>
      </c>
      <c r="D443" s="3" t="s">
        <v>288</v>
      </c>
      <c r="E443" s="3" t="s">
        <v>1750</v>
      </c>
      <c r="F443" s="3"/>
      <c r="G443" s="3" t="s">
        <v>19</v>
      </c>
      <c r="H443" s="3"/>
      <c r="I443" s="3" t="s">
        <v>20</v>
      </c>
      <c r="J443" s="3"/>
      <c r="K443" s="3" t="s">
        <v>28</v>
      </c>
      <c r="L443" s="3" t="s">
        <v>28</v>
      </c>
      <c r="M443" s="3" t="s">
        <v>1751</v>
      </c>
      <c r="N443" s="3" t="s">
        <v>1752</v>
      </c>
      <c r="O443" s="3" t="s">
        <v>1752</v>
      </c>
      <c r="P443" s="3" t="s">
        <v>1752</v>
      </c>
      <c r="Q443" s="3"/>
      <c r="R443" s="3"/>
      <c r="S443" s="3"/>
      <c r="T443" s="3"/>
      <c r="U443" s="3"/>
      <c r="V443" s="3"/>
      <c r="W443" s="3"/>
      <c r="X443" s="3"/>
      <c r="Y443" s="3"/>
      <c r="Z443" s="3"/>
      <c r="AA443" s="3"/>
    </row>
    <row r="444" spans="1:27" ht="14.25" customHeight="1">
      <c r="A444" s="2">
        <v>46178</v>
      </c>
      <c r="B444" s="3" t="s">
        <v>1073</v>
      </c>
      <c r="C444" s="3" t="s">
        <v>1074</v>
      </c>
      <c r="D444" s="3" t="s">
        <v>1075</v>
      </c>
      <c r="E444" s="3" t="s">
        <v>1753</v>
      </c>
      <c r="F444" s="3"/>
      <c r="G444" s="3" t="s">
        <v>981</v>
      </c>
      <c r="H444" s="3"/>
      <c r="I444" s="3" t="s">
        <v>20</v>
      </c>
      <c r="J444" s="3"/>
      <c r="K444" s="3" t="s">
        <v>28</v>
      </c>
      <c r="L444" s="3" t="s">
        <v>21</v>
      </c>
      <c r="M444" s="3" t="s">
        <v>1754</v>
      </c>
      <c r="N444" s="3" t="s">
        <v>1755</v>
      </c>
      <c r="O444" s="3" t="s">
        <v>1756</v>
      </c>
      <c r="P444" s="3" t="s">
        <v>123</v>
      </c>
      <c r="Q444" s="3"/>
      <c r="R444" s="3"/>
      <c r="S444" s="3"/>
      <c r="T444" s="3"/>
      <c r="U444" s="3"/>
      <c r="V444" s="3"/>
      <c r="W444" s="3"/>
      <c r="X444" s="3"/>
      <c r="Y444" s="3"/>
      <c r="Z444" s="3"/>
      <c r="AA444" s="3"/>
    </row>
    <row r="445" spans="1:27" ht="14.25" customHeight="1">
      <c r="A445" s="2">
        <v>46178</v>
      </c>
      <c r="B445" s="3" t="s">
        <v>150</v>
      </c>
      <c r="C445" s="3" t="s">
        <v>151</v>
      </c>
      <c r="D445" s="3" t="s">
        <v>150</v>
      </c>
      <c r="E445" s="3" t="s">
        <v>1757</v>
      </c>
      <c r="F445" s="3"/>
      <c r="G445" s="3" t="s">
        <v>19</v>
      </c>
      <c r="H445" s="3"/>
      <c r="I445" s="3" t="s">
        <v>20</v>
      </c>
      <c r="J445" s="3"/>
      <c r="K445" s="3" t="s">
        <v>21</v>
      </c>
      <c r="L445" s="3" t="s">
        <v>21</v>
      </c>
      <c r="M445" s="3" t="s">
        <v>1758</v>
      </c>
      <c r="N445" s="3" t="s">
        <v>1759</v>
      </c>
      <c r="O445" s="3" t="s">
        <v>1760</v>
      </c>
      <c r="P445" s="3"/>
      <c r="Q445" s="3"/>
      <c r="R445" s="3"/>
      <c r="S445" s="3"/>
      <c r="T445" s="3"/>
      <c r="U445" s="3"/>
      <c r="V445" s="3"/>
      <c r="W445" s="3"/>
      <c r="X445" s="3"/>
      <c r="Y445" s="3"/>
      <c r="Z445" s="3"/>
      <c r="AA445" s="3"/>
    </row>
    <row r="446" spans="1:27" ht="14.25" customHeight="1">
      <c r="A446" s="2">
        <v>46178</v>
      </c>
      <c r="B446" s="3" t="s">
        <v>150</v>
      </c>
      <c r="C446" s="3" t="s">
        <v>151</v>
      </c>
      <c r="D446" s="3" t="s">
        <v>150</v>
      </c>
      <c r="E446" s="3" t="s">
        <v>1761</v>
      </c>
      <c r="F446" s="3"/>
      <c r="G446" s="3" t="s">
        <v>19</v>
      </c>
      <c r="H446" s="3"/>
      <c r="I446" s="3" t="s">
        <v>45</v>
      </c>
      <c r="J446" s="3"/>
      <c r="K446" s="3" t="s">
        <v>28</v>
      </c>
      <c r="L446" s="3" t="s">
        <v>28</v>
      </c>
      <c r="M446" s="3" t="s">
        <v>1762</v>
      </c>
      <c r="N446" s="3" t="s">
        <v>30</v>
      </c>
      <c r="O446" s="3" t="s">
        <v>30</v>
      </c>
      <c r="P446" s="3"/>
      <c r="Q446" s="3"/>
      <c r="R446" s="3"/>
      <c r="S446" s="3"/>
      <c r="T446" s="3"/>
      <c r="U446" s="3"/>
      <c r="V446" s="3"/>
      <c r="W446" s="3"/>
      <c r="X446" s="3"/>
      <c r="Y446" s="3"/>
      <c r="Z446" s="3"/>
      <c r="AA446" s="3"/>
    </row>
    <row r="447" spans="1:27" ht="14.25" customHeight="1">
      <c r="A447" s="2">
        <v>46178</v>
      </c>
      <c r="B447" s="3" t="s">
        <v>1030</v>
      </c>
      <c r="C447" s="3" t="s">
        <v>1031</v>
      </c>
      <c r="D447" s="3" t="s">
        <v>1061</v>
      </c>
      <c r="E447" s="3" t="s">
        <v>1763</v>
      </c>
      <c r="F447" s="3"/>
      <c r="G447" s="3" t="s">
        <v>981</v>
      </c>
      <c r="H447" s="3"/>
      <c r="I447" s="3" t="s">
        <v>20</v>
      </c>
      <c r="J447" s="3"/>
      <c r="K447" s="3" t="s">
        <v>21</v>
      </c>
      <c r="L447" s="3" t="s">
        <v>28</v>
      </c>
      <c r="M447" s="3" t="s">
        <v>1764</v>
      </c>
      <c r="N447" s="3" t="s">
        <v>1765</v>
      </c>
      <c r="O447" s="3" t="s">
        <v>1766</v>
      </c>
      <c r="P447" s="3" t="s">
        <v>30</v>
      </c>
      <c r="Q447" s="3"/>
      <c r="R447" s="3"/>
      <c r="S447" s="3"/>
      <c r="T447" s="3"/>
      <c r="U447" s="3"/>
      <c r="V447" s="3"/>
      <c r="W447" s="3"/>
      <c r="X447" s="3"/>
      <c r="Y447" s="3"/>
      <c r="Z447" s="3"/>
      <c r="AA447" s="3"/>
    </row>
    <row r="448" spans="1:27" ht="14.25" customHeight="1">
      <c r="A448" s="2">
        <v>46178</v>
      </c>
      <c r="B448" s="3" t="s">
        <v>15</v>
      </c>
      <c r="C448" s="3" t="s">
        <v>16</v>
      </c>
      <c r="D448" s="3" t="s">
        <v>177</v>
      </c>
      <c r="E448" s="3" t="s">
        <v>1767</v>
      </c>
      <c r="F448" s="3"/>
      <c r="G448" s="3" t="s">
        <v>107</v>
      </c>
      <c r="H448" s="3"/>
      <c r="I448" s="3" t="s">
        <v>20</v>
      </c>
      <c r="J448" s="3"/>
      <c r="K448" s="3" t="s">
        <v>21</v>
      </c>
      <c r="L448" s="3" t="s">
        <v>21</v>
      </c>
      <c r="M448" s="3" t="s">
        <v>1768</v>
      </c>
      <c r="N448" s="3" t="s">
        <v>48</v>
      </c>
      <c r="O448" s="3" t="s">
        <v>1769</v>
      </c>
      <c r="P448" s="3"/>
      <c r="Q448" s="3"/>
      <c r="R448" s="3"/>
      <c r="S448" s="3"/>
      <c r="T448" s="3"/>
      <c r="U448" s="3"/>
      <c r="V448" s="3"/>
      <c r="W448" s="3"/>
      <c r="X448" s="3"/>
      <c r="Y448" s="3"/>
      <c r="Z448" s="3"/>
      <c r="AA448" s="3"/>
    </row>
    <row r="449" spans="1:27" ht="14.25" customHeight="1">
      <c r="A449" s="2">
        <v>46178</v>
      </c>
      <c r="B449" s="3" t="s">
        <v>150</v>
      </c>
      <c r="C449" s="3" t="s">
        <v>151</v>
      </c>
      <c r="D449" s="3" t="s">
        <v>150</v>
      </c>
      <c r="E449" s="3" t="s">
        <v>1770</v>
      </c>
      <c r="F449" s="3"/>
      <c r="G449" s="3" t="s">
        <v>19</v>
      </c>
      <c r="H449" s="3"/>
      <c r="I449" s="3" t="s">
        <v>45</v>
      </c>
      <c r="J449" s="3"/>
      <c r="K449" s="3" t="s">
        <v>21</v>
      </c>
      <c r="L449" s="3" t="s">
        <v>28</v>
      </c>
      <c r="M449" s="3" t="s">
        <v>1771</v>
      </c>
      <c r="N449" s="3" t="s">
        <v>1046</v>
      </c>
      <c r="O449" s="3" t="s">
        <v>1772</v>
      </c>
      <c r="P449" s="3" t="s">
        <v>1773</v>
      </c>
      <c r="Q449" s="3"/>
      <c r="R449" s="3"/>
      <c r="S449" s="3"/>
      <c r="T449" s="3"/>
      <c r="U449" s="3"/>
      <c r="V449" s="3"/>
      <c r="W449" s="3"/>
      <c r="X449" s="3"/>
      <c r="Y449" s="3"/>
      <c r="Z449" s="3"/>
      <c r="AA449" s="3"/>
    </row>
    <row r="450" spans="1:27" ht="14.25" customHeight="1">
      <c r="A450" s="2">
        <v>46178</v>
      </c>
      <c r="B450" s="3" t="s">
        <v>15</v>
      </c>
      <c r="C450" s="3" t="s">
        <v>16</v>
      </c>
      <c r="D450" s="3" t="s">
        <v>1064</v>
      </c>
      <c r="E450" s="3" t="s">
        <v>1774</v>
      </c>
      <c r="F450" s="3"/>
      <c r="G450" s="3" t="s">
        <v>107</v>
      </c>
      <c r="H450" s="3"/>
      <c r="I450" s="3" t="s">
        <v>20</v>
      </c>
      <c r="J450" s="3"/>
      <c r="K450" s="3" t="s">
        <v>21</v>
      </c>
      <c r="L450" s="3" t="s">
        <v>21</v>
      </c>
      <c r="M450" s="3" t="s">
        <v>1775</v>
      </c>
      <c r="N450" s="3" t="s">
        <v>1776</v>
      </c>
      <c r="O450" s="3" t="s">
        <v>1777</v>
      </c>
      <c r="P450" s="3"/>
      <c r="Q450" s="3"/>
      <c r="R450" s="3"/>
      <c r="S450" s="3"/>
      <c r="T450" s="3"/>
      <c r="U450" s="3"/>
      <c r="V450" s="3"/>
      <c r="W450" s="3"/>
      <c r="X450" s="3"/>
      <c r="Y450" s="3"/>
      <c r="Z450" s="3"/>
      <c r="AA450" s="3"/>
    </row>
    <row r="451" spans="1:27" ht="14.25" customHeight="1">
      <c r="A451" s="2">
        <v>46178</v>
      </c>
      <c r="B451" s="3" t="s">
        <v>150</v>
      </c>
      <c r="C451" s="3" t="s">
        <v>151</v>
      </c>
      <c r="D451" s="3" t="s">
        <v>150</v>
      </c>
      <c r="E451" s="3" t="s">
        <v>1778</v>
      </c>
      <c r="F451" s="3"/>
      <c r="G451" s="3" t="s">
        <v>19</v>
      </c>
      <c r="H451" s="3"/>
      <c r="I451" s="3" t="s">
        <v>20</v>
      </c>
      <c r="J451" s="3"/>
      <c r="K451" s="3" t="s">
        <v>28</v>
      </c>
      <c r="L451" s="3" t="s">
        <v>28</v>
      </c>
      <c r="M451" s="3" t="s">
        <v>1779</v>
      </c>
      <c r="N451" s="3" t="s">
        <v>1780</v>
      </c>
      <c r="O451" s="3" t="s">
        <v>1781</v>
      </c>
      <c r="P451" s="3" t="s">
        <v>1782</v>
      </c>
      <c r="Q451" s="3"/>
      <c r="R451" s="3"/>
      <c r="S451" s="3"/>
      <c r="T451" s="3"/>
      <c r="U451" s="3"/>
      <c r="V451" s="3"/>
      <c r="W451" s="3"/>
      <c r="X451" s="3"/>
      <c r="Y451" s="3"/>
      <c r="Z451" s="3"/>
      <c r="AA451" s="3"/>
    </row>
    <row r="452" spans="1:27" ht="14.25" customHeight="1">
      <c r="A452" s="2">
        <v>46178</v>
      </c>
      <c r="B452" s="3" t="s">
        <v>15</v>
      </c>
      <c r="C452" s="3" t="s">
        <v>16</v>
      </c>
      <c r="D452" s="3" t="s">
        <v>1064</v>
      </c>
      <c r="E452" s="3" t="s">
        <v>1783</v>
      </c>
      <c r="F452" s="3"/>
      <c r="G452" s="3" t="s">
        <v>19</v>
      </c>
      <c r="H452" s="3"/>
      <c r="I452" s="3" t="s">
        <v>20</v>
      </c>
      <c r="J452" s="3"/>
      <c r="K452" s="3" t="s">
        <v>21</v>
      </c>
      <c r="L452" s="3" t="s">
        <v>21</v>
      </c>
      <c r="M452" s="3" t="s">
        <v>1784</v>
      </c>
      <c r="N452" s="3" t="s">
        <v>1114</v>
      </c>
      <c r="O452" s="3" t="s">
        <v>1785</v>
      </c>
      <c r="P452" s="3"/>
      <c r="Q452" s="3"/>
      <c r="R452" s="3"/>
      <c r="S452" s="3"/>
      <c r="T452" s="3"/>
      <c r="U452" s="3"/>
      <c r="V452" s="3"/>
      <c r="W452" s="3"/>
      <c r="X452" s="3"/>
      <c r="Y452" s="3"/>
      <c r="Z452" s="3"/>
      <c r="AA452" s="3"/>
    </row>
    <row r="453" spans="1:27" ht="14.25" customHeight="1">
      <c r="A453" s="2">
        <v>46178</v>
      </c>
      <c r="B453" s="3" t="s">
        <v>15</v>
      </c>
      <c r="C453" s="3" t="s">
        <v>33</v>
      </c>
      <c r="D453" s="3" t="s">
        <v>62</v>
      </c>
      <c r="E453" s="3" t="s">
        <v>1786</v>
      </c>
      <c r="F453" s="3"/>
      <c r="G453" s="3" t="s">
        <v>19</v>
      </c>
      <c r="H453" s="3"/>
      <c r="I453" s="3" t="s">
        <v>20</v>
      </c>
      <c r="J453" s="3"/>
      <c r="K453" s="3" t="s">
        <v>21</v>
      </c>
      <c r="L453" s="3" t="s">
        <v>186</v>
      </c>
      <c r="M453" s="3" t="s">
        <v>1787</v>
      </c>
      <c r="N453" s="3" t="s">
        <v>1788</v>
      </c>
      <c r="O453" s="3" t="s">
        <v>1789</v>
      </c>
      <c r="P453" s="3"/>
      <c r="Q453" s="3"/>
      <c r="R453" s="3"/>
      <c r="S453" s="3"/>
      <c r="T453" s="3"/>
      <c r="U453" s="3"/>
      <c r="V453" s="3"/>
      <c r="W453" s="3"/>
      <c r="X453" s="3"/>
      <c r="Y453" s="3"/>
      <c r="Z453" s="3"/>
      <c r="AA453" s="3"/>
    </row>
    <row r="454" spans="1:27" ht="14.25" customHeight="1">
      <c r="A454" s="2">
        <v>46178</v>
      </c>
      <c r="B454" s="3" t="s">
        <v>1030</v>
      </c>
      <c r="C454" s="3" t="s">
        <v>1031</v>
      </c>
      <c r="D454" s="3" t="s">
        <v>1032</v>
      </c>
      <c r="E454" s="3" t="s">
        <v>1790</v>
      </c>
      <c r="F454" s="3"/>
      <c r="G454" s="3" t="s">
        <v>1034</v>
      </c>
      <c r="H454" s="3"/>
      <c r="I454" s="3" t="s">
        <v>20</v>
      </c>
      <c r="J454" s="3"/>
      <c r="K454" s="3" t="s">
        <v>28</v>
      </c>
      <c r="L454" s="3" t="s">
        <v>21</v>
      </c>
      <c r="M454" s="3" t="s">
        <v>1343</v>
      </c>
      <c r="N454" s="3" t="s">
        <v>1046</v>
      </c>
      <c r="O454" s="3" t="s">
        <v>1791</v>
      </c>
      <c r="P454" s="3" t="s">
        <v>1792</v>
      </c>
      <c r="Q454" s="3"/>
      <c r="R454" s="3"/>
      <c r="S454" s="3"/>
      <c r="T454" s="3"/>
      <c r="U454" s="3"/>
      <c r="V454" s="3"/>
      <c r="W454" s="3"/>
      <c r="X454" s="3"/>
      <c r="Y454" s="3"/>
      <c r="Z454" s="3"/>
      <c r="AA454" s="3"/>
    </row>
    <row r="455" spans="1:27" ht="14.25" customHeight="1">
      <c r="A455" s="2">
        <v>46178</v>
      </c>
      <c r="B455" s="3" t="s">
        <v>150</v>
      </c>
      <c r="C455" s="3" t="s">
        <v>151</v>
      </c>
      <c r="D455" s="3" t="s">
        <v>150</v>
      </c>
      <c r="E455" s="3" t="s">
        <v>1793</v>
      </c>
      <c r="F455" s="3"/>
      <c r="G455" s="3" t="s">
        <v>19</v>
      </c>
      <c r="H455" s="3"/>
      <c r="I455" s="3" t="s">
        <v>45</v>
      </c>
      <c r="J455" s="3"/>
      <c r="K455" s="3" t="s">
        <v>28</v>
      </c>
      <c r="L455" s="3" t="s">
        <v>28</v>
      </c>
      <c r="M455" s="3" t="s">
        <v>1794</v>
      </c>
      <c r="N455" s="3" t="s">
        <v>1795</v>
      </c>
      <c r="O455" s="3" t="s">
        <v>1796</v>
      </c>
      <c r="P455" s="3"/>
      <c r="Q455" s="3"/>
      <c r="R455" s="3"/>
      <c r="S455" s="3"/>
      <c r="T455" s="3"/>
      <c r="U455" s="3"/>
      <c r="V455" s="3"/>
      <c r="W455" s="3"/>
      <c r="X455" s="3"/>
      <c r="Y455" s="3"/>
      <c r="Z455" s="3"/>
      <c r="AA455" s="3"/>
    </row>
    <row r="456" spans="1:27" ht="14.25" customHeight="1">
      <c r="A456" s="2">
        <v>46178</v>
      </c>
      <c r="B456" s="3" t="s">
        <v>15</v>
      </c>
      <c r="C456" s="3" t="s">
        <v>33</v>
      </c>
      <c r="D456" s="3" t="s">
        <v>34</v>
      </c>
      <c r="E456" s="3" t="s">
        <v>119</v>
      </c>
      <c r="F456" s="3"/>
      <c r="G456" s="3" t="s">
        <v>19</v>
      </c>
      <c r="H456" s="3"/>
      <c r="I456" s="3" t="s">
        <v>20</v>
      </c>
      <c r="J456" s="3"/>
      <c r="K456" s="3" t="s">
        <v>28</v>
      </c>
      <c r="L456" s="3" t="s">
        <v>28</v>
      </c>
      <c r="M456" s="3" t="s">
        <v>1797</v>
      </c>
      <c r="N456" s="3" t="s">
        <v>1798</v>
      </c>
      <c r="O456" s="3" t="s">
        <v>1799</v>
      </c>
      <c r="P456" s="3"/>
      <c r="Q456" s="3"/>
      <c r="R456" s="3"/>
      <c r="S456" s="3"/>
      <c r="T456" s="3"/>
      <c r="U456" s="3"/>
      <c r="V456" s="3"/>
      <c r="W456" s="3"/>
      <c r="X456" s="3"/>
      <c r="Y456" s="3"/>
      <c r="Z456" s="3"/>
      <c r="AA456" s="3"/>
    </row>
    <row r="457" spans="1:27" ht="14.25" customHeight="1">
      <c r="A457" s="2">
        <v>46178</v>
      </c>
      <c r="B457" s="3" t="s">
        <v>150</v>
      </c>
      <c r="C457" s="3" t="s">
        <v>151</v>
      </c>
      <c r="D457" s="3" t="s">
        <v>150</v>
      </c>
      <c r="E457" s="3" t="s">
        <v>1800</v>
      </c>
      <c r="F457" s="3"/>
      <c r="G457" s="3" t="s">
        <v>19</v>
      </c>
      <c r="H457" s="3"/>
      <c r="I457" s="3" t="s">
        <v>20</v>
      </c>
      <c r="J457" s="3"/>
      <c r="K457" s="3" t="s">
        <v>21</v>
      </c>
      <c r="L457" s="3" t="s">
        <v>21</v>
      </c>
      <c r="M457" s="3" t="s">
        <v>1801</v>
      </c>
      <c r="N457" s="3" t="s">
        <v>1802</v>
      </c>
      <c r="O457" s="3" t="s">
        <v>1803</v>
      </c>
      <c r="P457" s="3"/>
      <c r="Q457" s="3"/>
      <c r="R457" s="3"/>
      <c r="S457" s="3"/>
      <c r="T457" s="3"/>
      <c r="U457" s="3"/>
      <c r="V457" s="3"/>
      <c r="W457" s="3"/>
      <c r="X457" s="3"/>
      <c r="Y457" s="3"/>
      <c r="Z457" s="3"/>
      <c r="AA457" s="3"/>
    </row>
    <row r="458" spans="1:27" ht="14.25" customHeight="1">
      <c r="A458" s="2">
        <v>46178</v>
      </c>
      <c r="B458" s="3" t="s">
        <v>978</v>
      </c>
      <c r="C458" s="3" t="s">
        <v>979</v>
      </c>
      <c r="D458" s="3" t="s">
        <v>978</v>
      </c>
      <c r="E458" s="3" t="s">
        <v>1804</v>
      </c>
      <c r="F458" s="3"/>
      <c r="G458" s="3" t="s">
        <v>1034</v>
      </c>
      <c r="H458" s="3"/>
      <c r="I458" s="3" t="s">
        <v>20</v>
      </c>
      <c r="J458" s="3"/>
      <c r="K458" s="3" t="s">
        <v>28</v>
      </c>
      <c r="L458" s="3" t="s">
        <v>28</v>
      </c>
      <c r="M458" s="3" t="s">
        <v>1805</v>
      </c>
      <c r="N458" s="3" t="s">
        <v>1806</v>
      </c>
      <c r="O458" s="3" t="s">
        <v>1807</v>
      </c>
      <c r="P458" s="3" t="s">
        <v>1808</v>
      </c>
      <c r="Q458" s="3"/>
      <c r="R458" s="3"/>
      <c r="S458" s="3"/>
      <c r="T458" s="3"/>
      <c r="U458" s="3"/>
      <c r="V458" s="3"/>
      <c r="W458" s="3"/>
      <c r="X458" s="3"/>
      <c r="Y458" s="3"/>
      <c r="Z458" s="3"/>
      <c r="AA458" s="3"/>
    </row>
    <row r="459" spans="1:27" ht="14.25" customHeight="1">
      <c r="A459" s="2">
        <v>46178</v>
      </c>
      <c r="B459" s="3" t="s">
        <v>81</v>
      </c>
      <c r="C459" s="3" t="s">
        <v>82</v>
      </c>
      <c r="D459" s="3" t="s">
        <v>95</v>
      </c>
      <c r="E459" s="3" t="s">
        <v>1809</v>
      </c>
      <c r="F459" s="3"/>
      <c r="G459" s="3" t="s">
        <v>19</v>
      </c>
      <c r="H459" s="3"/>
      <c r="I459" s="3" t="s">
        <v>20</v>
      </c>
      <c r="J459" s="3"/>
      <c r="K459" s="3" t="s">
        <v>21</v>
      </c>
      <c r="L459" s="3" t="s">
        <v>21</v>
      </c>
      <c r="M459" s="3" t="s">
        <v>1810</v>
      </c>
      <c r="N459" s="3" t="s">
        <v>1811</v>
      </c>
      <c r="O459" s="3" t="s">
        <v>1811</v>
      </c>
      <c r="P459" s="3"/>
      <c r="Q459" s="3"/>
      <c r="R459" s="3"/>
      <c r="S459" s="3"/>
      <c r="T459" s="3"/>
      <c r="U459" s="3"/>
      <c r="V459" s="3"/>
      <c r="W459" s="3"/>
      <c r="X459" s="3"/>
      <c r="Y459" s="3"/>
      <c r="Z459" s="3"/>
      <c r="AA459" s="3"/>
    </row>
    <row r="460" spans="1:27" ht="14.25" customHeight="1">
      <c r="A460" s="2">
        <v>46178</v>
      </c>
      <c r="B460" s="3" t="s">
        <v>978</v>
      </c>
      <c r="C460" s="3" t="s">
        <v>979</v>
      </c>
      <c r="D460" s="3" t="s">
        <v>978</v>
      </c>
      <c r="E460" s="3" t="s">
        <v>1812</v>
      </c>
      <c r="F460" s="3"/>
      <c r="G460" s="3" t="s">
        <v>981</v>
      </c>
      <c r="H460" s="3"/>
      <c r="I460" s="3" t="s">
        <v>20</v>
      </c>
      <c r="J460" s="3"/>
      <c r="K460" s="3" t="s">
        <v>21</v>
      </c>
      <c r="L460" s="3" t="s">
        <v>21</v>
      </c>
      <c r="M460" s="3" t="s">
        <v>1813</v>
      </c>
      <c r="N460" s="3" t="s">
        <v>1814</v>
      </c>
      <c r="O460" s="3" t="s">
        <v>1815</v>
      </c>
      <c r="P460" s="3" t="s">
        <v>1816</v>
      </c>
      <c r="Q460" s="3"/>
      <c r="R460" s="3"/>
      <c r="S460" s="3"/>
      <c r="T460" s="3"/>
      <c r="U460" s="3"/>
      <c r="V460" s="3"/>
      <c r="W460" s="3"/>
      <c r="X460" s="3"/>
      <c r="Y460" s="3"/>
      <c r="Z460" s="3"/>
      <c r="AA460" s="3"/>
    </row>
    <row r="461" spans="1:27" ht="14.25" customHeight="1">
      <c r="A461" s="2">
        <v>46178</v>
      </c>
      <c r="B461" s="3" t="s">
        <v>150</v>
      </c>
      <c r="C461" s="3" t="s">
        <v>151</v>
      </c>
      <c r="D461" s="3" t="s">
        <v>150</v>
      </c>
      <c r="E461" s="3" t="s">
        <v>1817</v>
      </c>
      <c r="F461" s="3"/>
      <c r="G461" s="3" t="s">
        <v>19</v>
      </c>
      <c r="H461" s="3"/>
      <c r="I461" s="3" t="s">
        <v>20</v>
      </c>
      <c r="J461" s="3"/>
      <c r="K461" s="3" t="s">
        <v>21</v>
      </c>
      <c r="L461" s="3" t="s">
        <v>21</v>
      </c>
      <c r="M461" s="3" t="s">
        <v>1818</v>
      </c>
      <c r="N461" s="3" t="s">
        <v>1819</v>
      </c>
      <c r="O461" s="3" t="s">
        <v>1820</v>
      </c>
      <c r="P461" s="3" t="s">
        <v>1821</v>
      </c>
      <c r="Q461" s="3"/>
      <c r="R461" s="3"/>
      <c r="S461" s="3"/>
      <c r="T461" s="3"/>
      <c r="U461" s="3"/>
      <c r="V461" s="3"/>
      <c r="W461" s="3"/>
      <c r="X461" s="3"/>
      <c r="Y461" s="3"/>
      <c r="Z461" s="3"/>
      <c r="AA461" s="3"/>
    </row>
    <row r="462" spans="1:27" ht="14.25" customHeight="1">
      <c r="A462" s="2">
        <v>46178</v>
      </c>
      <c r="B462" s="3" t="s">
        <v>1030</v>
      </c>
      <c r="C462" s="3" t="s">
        <v>1031</v>
      </c>
      <c r="D462" s="3" t="s">
        <v>1061</v>
      </c>
      <c r="E462" s="3" t="s">
        <v>1822</v>
      </c>
      <c r="F462" s="3"/>
      <c r="G462" s="3" t="s">
        <v>1034</v>
      </c>
      <c r="H462" s="3"/>
      <c r="I462" s="3" t="s">
        <v>20</v>
      </c>
      <c r="J462" s="3"/>
      <c r="K462" s="3" t="s">
        <v>21</v>
      </c>
      <c r="L462" s="3" t="s">
        <v>21</v>
      </c>
      <c r="M462" s="3" t="s">
        <v>1823</v>
      </c>
      <c r="N462" s="3" t="s">
        <v>1824</v>
      </c>
      <c r="O462" s="3" t="s">
        <v>1825</v>
      </c>
      <c r="P462" s="3" t="s">
        <v>1826</v>
      </c>
      <c r="Q462" s="3"/>
      <c r="R462" s="3"/>
      <c r="S462" s="3"/>
      <c r="T462" s="3"/>
      <c r="U462" s="3"/>
      <c r="V462" s="3"/>
      <c r="W462" s="3"/>
      <c r="X462" s="3"/>
      <c r="Y462" s="3"/>
      <c r="Z462" s="3"/>
      <c r="AA462" s="3"/>
    </row>
    <row r="463" spans="1:27" ht="14.25" customHeight="1">
      <c r="A463" s="2">
        <v>46178</v>
      </c>
      <c r="B463" s="3" t="s">
        <v>978</v>
      </c>
      <c r="C463" s="3" t="s">
        <v>979</v>
      </c>
      <c r="D463" s="3" t="s">
        <v>978</v>
      </c>
      <c r="E463" s="3" t="s">
        <v>1827</v>
      </c>
      <c r="F463" s="3"/>
      <c r="G463" s="3" t="s">
        <v>1034</v>
      </c>
      <c r="H463" s="3"/>
      <c r="I463" s="3" t="s">
        <v>20</v>
      </c>
      <c r="J463" s="3"/>
      <c r="K463" s="3" t="s">
        <v>21</v>
      </c>
      <c r="L463" s="3" t="s">
        <v>28</v>
      </c>
      <c r="M463" s="3" t="s">
        <v>1828</v>
      </c>
      <c r="N463" s="3" t="s">
        <v>1829</v>
      </c>
      <c r="O463" s="3" t="s">
        <v>1830</v>
      </c>
      <c r="P463" s="3"/>
      <c r="Q463" s="3"/>
      <c r="R463" s="3"/>
      <c r="S463" s="3"/>
      <c r="T463" s="3"/>
      <c r="U463" s="3"/>
      <c r="V463" s="3"/>
      <c r="W463" s="3"/>
      <c r="X463" s="3"/>
      <c r="Y463" s="3"/>
      <c r="Z463" s="3"/>
      <c r="AA463" s="3"/>
    </row>
    <row r="464" spans="1:27" ht="14.25" customHeight="1">
      <c r="A464" s="2">
        <v>46178</v>
      </c>
      <c r="B464" s="3" t="s">
        <v>1030</v>
      </c>
      <c r="C464" s="3" t="s">
        <v>1031</v>
      </c>
      <c r="D464" s="3" t="s">
        <v>1061</v>
      </c>
      <c r="E464" s="3" t="s">
        <v>1831</v>
      </c>
      <c r="F464" s="3"/>
      <c r="G464" s="3" t="s">
        <v>981</v>
      </c>
      <c r="H464" s="3"/>
      <c r="I464" s="3" t="s">
        <v>20</v>
      </c>
      <c r="J464" s="3"/>
      <c r="K464" s="3" t="s">
        <v>21</v>
      </c>
      <c r="L464" s="3" t="s">
        <v>21</v>
      </c>
      <c r="M464" s="3" t="s">
        <v>1832</v>
      </c>
      <c r="N464" s="3" t="s">
        <v>1833</v>
      </c>
      <c r="O464" s="3" t="s">
        <v>1834</v>
      </c>
      <c r="P464" s="3" t="s">
        <v>30</v>
      </c>
      <c r="Q464" s="3"/>
      <c r="R464" s="3"/>
      <c r="S464" s="3"/>
      <c r="T464" s="3"/>
      <c r="U464" s="3"/>
      <c r="V464" s="3"/>
      <c r="W464" s="3"/>
      <c r="X464" s="3"/>
      <c r="Y464" s="3"/>
      <c r="Z464" s="3"/>
      <c r="AA464" s="3"/>
    </row>
    <row r="465" spans="1:27" ht="14.25" customHeight="1">
      <c r="A465" s="2">
        <v>46178</v>
      </c>
      <c r="B465" s="3" t="s">
        <v>978</v>
      </c>
      <c r="C465" s="3" t="s">
        <v>979</v>
      </c>
      <c r="D465" s="3" t="s">
        <v>978</v>
      </c>
      <c r="E465" s="3" t="s">
        <v>1835</v>
      </c>
      <c r="F465" s="3"/>
      <c r="G465" s="3" t="s">
        <v>1034</v>
      </c>
      <c r="H465" s="3"/>
      <c r="I465" s="3" t="s">
        <v>45</v>
      </c>
      <c r="J465" s="3"/>
      <c r="K465" s="3" t="s">
        <v>21</v>
      </c>
      <c r="L465" s="3" t="s">
        <v>28</v>
      </c>
      <c r="M465" s="3" t="s">
        <v>1836</v>
      </c>
      <c r="N465" s="3" t="s">
        <v>1837</v>
      </c>
      <c r="O465" s="3" t="s">
        <v>1838</v>
      </c>
      <c r="P465" s="3" t="s">
        <v>1839</v>
      </c>
      <c r="Q465" s="3"/>
      <c r="R465" s="3"/>
      <c r="S465" s="3"/>
      <c r="T465" s="3"/>
      <c r="U465" s="3"/>
      <c r="V465" s="3"/>
      <c r="W465" s="3"/>
      <c r="X465" s="3"/>
      <c r="Y465" s="3"/>
      <c r="Z465" s="3"/>
      <c r="AA465" s="3"/>
    </row>
    <row r="466" spans="1:27" ht="14.25" customHeight="1">
      <c r="A466" s="2">
        <v>46178</v>
      </c>
      <c r="B466" s="3" t="s">
        <v>978</v>
      </c>
      <c r="C466" s="3" t="s">
        <v>979</v>
      </c>
      <c r="D466" s="3" t="s">
        <v>978</v>
      </c>
      <c r="E466" s="3" t="s">
        <v>1812</v>
      </c>
      <c r="F466" s="3"/>
      <c r="G466" s="3" t="s">
        <v>981</v>
      </c>
      <c r="H466" s="3"/>
      <c r="I466" s="3" t="s">
        <v>20</v>
      </c>
      <c r="J466" s="3"/>
      <c r="K466" s="3" t="s">
        <v>21</v>
      </c>
      <c r="L466" s="3" t="s">
        <v>21</v>
      </c>
      <c r="M466" s="3" t="s">
        <v>1598</v>
      </c>
      <c r="N466" s="3" t="s">
        <v>281</v>
      </c>
      <c r="O466" s="3" t="s">
        <v>55</v>
      </c>
      <c r="P466" s="3" t="s">
        <v>1840</v>
      </c>
      <c r="Q466" s="3"/>
      <c r="R466" s="3"/>
      <c r="S466" s="3"/>
      <c r="T466" s="3"/>
      <c r="U466" s="3"/>
      <c r="V466" s="3"/>
      <c r="W466" s="3"/>
      <c r="X466" s="3"/>
      <c r="Y466" s="3"/>
      <c r="Z466" s="3"/>
      <c r="AA466" s="3"/>
    </row>
    <row r="467" spans="1:27" ht="14.25" customHeight="1">
      <c r="A467" s="2">
        <v>46178</v>
      </c>
      <c r="B467" s="3" t="s">
        <v>72</v>
      </c>
      <c r="C467" s="3" t="s">
        <v>73</v>
      </c>
      <c r="D467" s="3" t="s">
        <v>72</v>
      </c>
      <c r="E467" s="3" t="s">
        <v>1841</v>
      </c>
      <c r="F467" s="3"/>
      <c r="G467" s="3" t="s">
        <v>19</v>
      </c>
      <c r="H467" s="3"/>
      <c r="I467" s="3" t="s">
        <v>45</v>
      </c>
      <c r="J467" s="3"/>
      <c r="K467" s="3" t="s">
        <v>21</v>
      </c>
      <c r="L467" s="3" t="s">
        <v>21</v>
      </c>
      <c r="M467" s="3" t="s">
        <v>1842</v>
      </c>
      <c r="N467" s="3" t="s">
        <v>1843</v>
      </c>
      <c r="O467" s="3" t="s">
        <v>1844</v>
      </c>
      <c r="P467" s="3"/>
      <c r="Q467" s="3"/>
      <c r="R467" s="3"/>
      <c r="S467" s="3"/>
      <c r="T467" s="3"/>
      <c r="U467" s="3"/>
      <c r="V467" s="3"/>
      <c r="W467" s="3"/>
      <c r="X467" s="3"/>
      <c r="Y467" s="3"/>
      <c r="Z467" s="3"/>
      <c r="AA467" s="3"/>
    </row>
    <row r="468" spans="1:27" ht="14.25" customHeight="1">
      <c r="A468" s="2">
        <v>46178</v>
      </c>
      <c r="B468" s="3" t="s">
        <v>72</v>
      </c>
      <c r="C468" s="3" t="s">
        <v>73</v>
      </c>
      <c r="D468" s="3" t="s">
        <v>72</v>
      </c>
      <c r="E468" s="3" t="s">
        <v>1845</v>
      </c>
      <c r="F468" s="3"/>
      <c r="G468" s="3" t="s">
        <v>19</v>
      </c>
      <c r="H468" s="3"/>
      <c r="I468" s="3" t="s">
        <v>45</v>
      </c>
      <c r="J468" s="3"/>
      <c r="K468" s="3" t="s">
        <v>28</v>
      </c>
      <c r="L468" s="3" t="s">
        <v>21</v>
      </c>
      <c r="M468" s="3" t="s">
        <v>1846</v>
      </c>
      <c r="N468" s="3" t="s">
        <v>48</v>
      </c>
      <c r="O468" s="3" t="s">
        <v>1847</v>
      </c>
      <c r="P468" s="3" t="s">
        <v>48</v>
      </c>
      <c r="Q468" s="3"/>
      <c r="R468" s="3"/>
      <c r="S468" s="3"/>
      <c r="T468" s="3"/>
      <c r="U468" s="3"/>
      <c r="V468" s="3"/>
      <c r="W468" s="3"/>
      <c r="X468" s="3"/>
      <c r="Y468" s="3"/>
      <c r="Z468" s="3"/>
      <c r="AA468" s="3"/>
    </row>
    <row r="469" spans="1:27" ht="14.25" customHeight="1">
      <c r="A469" s="2">
        <v>46178</v>
      </c>
      <c r="B469" s="3" t="s">
        <v>81</v>
      </c>
      <c r="C469" s="3" t="s">
        <v>82</v>
      </c>
      <c r="D469" s="3" t="s">
        <v>83</v>
      </c>
      <c r="E469" s="3" t="s">
        <v>1848</v>
      </c>
      <c r="F469" s="3"/>
      <c r="G469" s="3" t="s">
        <v>19</v>
      </c>
      <c r="H469" s="3"/>
      <c r="I469" s="3" t="s">
        <v>20</v>
      </c>
      <c r="J469" s="3"/>
      <c r="K469" s="3" t="s">
        <v>28</v>
      </c>
      <c r="L469" s="3" t="s">
        <v>21</v>
      </c>
      <c r="M469" s="3" t="s">
        <v>1849</v>
      </c>
      <c r="N469" s="3" t="s">
        <v>1850</v>
      </c>
      <c r="O469" s="3" t="s">
        <v>1851</v>
      </c>
      <c r="P469" s="3" t="s">
        <v>30</v>
      </c>
      <c r="Q469" s="3"/>
      <c r="R469" s="3"/>
      <c r="S469" s="3"/>
      <c r="T469" s="3"/>
      <c r="U469" s="3"/>
      <c r="V469" s="3"/>
      <c r="W469" s="3"/>
      <c r="X469" s="3"/>
      <c r="Y469" s="3"/>
      <c r="Z469" s="3"/>
      <c r="AA469" s="3"/>
    </row>
    <row r="470" spans="1:27" ht="14.25" customHeight="1">
      <c r="A470" s="2">
        <v>46178</v>
      </c>
      <c r="B470" s="3" t="s">
        <v>81</v>
      </c>
      <c r="C470" s="3" t="s">
        <v>50</v>
      </c>
      <c r="D470" s="3" t="s">
        <v>196</v>
      </c>
      <c r="E470" s="3" t="s">
        <v>1704</v>
      </c>
      <c r="F470" s="3"/>
      <c r="G470" s="3" t="s">
        <v>981</v>
      </c>
      <c r="H470" s="3"/>
      <c r="I470" s="3" t="s">
        <v>20</v>
      </c>
      <c r="J470" s="3"/>
      <c r="K470" s="3" t="s">
        <v>28</v>
      </c>
      <c r="L470" s="3" t="s">
        <v>28</v>
      </c>
      <c r="M470" s="3" t="s">
        <v>1852</v>
      </c>
      <c r="N470" s="3" t="s">
        <v>1853</v>
      </c>
      <c r="O470" s="3" t="s">
        <v>1854</v>
      </c>
      <c r="P470" s="3" t="s">
        <v>1855</v>
      </c>
      <c r="Q470" s="3"/>
      <c r="R470" s="3"/>
      <c r="S470" s="3"/>
      <c r="T470" s="3"/>
      <c r="U470" s="3"/>
      <c r="V470" s="3"/>
      <c r="W470" s="3"/>
      <c r="X470" s="3"/>
      <c r="Y470" s="3"/>
      <c r="Z470" s="3"/>
      <c r="AA470" s="3"/>
    </row>
    <row r="471" spans="1:27" ht="14.25" customHeight="1">
      <c r="A471" s="2">
        <v>46178</v>
      </c>
      <c r="B471" s="3" t="s">
        <v>978</v>
      </c>
      <c r="C471" s="3" t="s">
        <v>979</v>
      </c>
      <c r="D471" s="3" t="s">
        <v>978</v>
      </c>
      <c r="E471" s="3" t="s">
        <v>1856</v>
      </c>
      <c r="F471" s="3"/>
      <c r="G471" s="3" t="s">
        <v>1034</v>
      </c>
      <c r="H471" s="3"/>
      <c r="I471" s="3" t="s">
        <v>20</v>
      </c>
      <c r="J471" s="3" t="s">
        <v>28</v>
      </c>
      <c r="K471" s="3" t="s">
        <v>28</v>
      </c>
      <c r="L471" s="3" t="s">
        <v>28</v>
      </c>
      <c r="M471" s="3" t="s">
        <v>1857</v>
      </c>
      <c r="N471" s="3" t="s">
        <v>1858</v>
      </c>
      <c r="O471" s="3" t="s">
        <v>1859</v>
      </c>
      <c r="P471" s="3" t="s">
        <v>1860</v>
      </c>
      <c r="Q471" s="3"/>
      <c r="R471" s="3"/>
      <c r="S471" s="3"/>
      <c r="T471" s="3"/>
      <c r="U471" s="3"/>
      <c r="V471" s="3"/>
      <c r="W471" s="3"/>
      <c r="X471" s="3"/>
      <c r="Y471" s="3"/>
      <c r="Z471" s="3"/>
      <c r="AA471" s="3"/>
    </row>
    <row r="472" spans="1:27" ht="14.25" customHeight="1">
      <c r="A472" s="2">
        <v>46178</v>
      </c>
      <c r="B472" s="3" t="s">
        <v>1030</v>
      </c>
      <c r="C472" s="3" t="s">
        <v>1031</v>
      </c>
      <c r="D472" s="3" t="s">
        <v>1032</v>
      </c>
      <c r="E472" s="3" t="s">
        <v>1039</v>
      </c>
      <c r="F472" s="3"/>
      <c r="G472" s="3" t="s">
        <v>1034</v>
      </c>
      <c r="H472" s="3"/>
      <c r="I472" s="3" t="s">
        <v>20</v>
      </c>
      <c r="J472" s="3"/>
      <c r="K472" s="3" t="s">
        <v>21</v>
      </c>
      <c r="L472" s="3" t="s">
        <v>21</v>
      </c>
      <c r="M472" s="3" t="s">
        <v>1861</v>
      </c>
      <c r="N472" s="3" t="s">
        <v>1862</v>
      </c>
      <c r="O472" s="3" t="s">
        <v>1863</v>
      </c>
      <c r="P472" s="3" t="s">
        <v>1043</v>
      </c>
      <c r="Q472" s="3"/>
      <c r="R472" s="3"/>
      <c r="S472" s="3"/>
      <c r="T472" s="3"/>
      <c r="U472" s="3"/>
      <c r="V472" s="3"/>
      <c r="W472" s="3"/>
      <c r="X472" s="3"/>
      <c r="Y472" s="3"/>
      <c r="Z472" s="3"/>
      <c r="AA472" s="3"/>
    </row>
    <row r="473" spans="1:27" ht="14.25" customHeight="1">
      <c r="A473" s="2">
        <v>46178</v>
      </c>
      <c r="B473" s="3" t="s">
        <v>25</v>
      </c>
      <c r="C473" s="3" t="s">
        <v>26</v>
      </c>
      <c r="D473" s="3" t="s">
        <v>25</v>
      </c>
      <c r="E473" s="3" t="s">
        <v>1864</v>
      </c>
      <c r="F473" s="3"/>
      <c r="G473" s="3" t="s">
        <v>19</v>
      </c>
      <c r="H473" s="3"/>
      <c r="I473" s="3" t="s">
        <v>20</v>
      </c>
      <c r="J473" s="3"/>
      <c r="K473" s="3" t="s">
        <v>21</v>
      </c>
      <c r="L473" s="3" t="s">
        <v>21</v>
      </c>
      <c r="M473" s="3" t="s">
        <v>1865</v>
      </c>
      <c r="N473" s="3" t="s">
        <v>48</v>
      </c>
      <c r="O473" s="3" t="s">
        <v>48</v>
      </c>
      <c r="P473" s="3" t="s">
        <v>48</v>
      </c>
      <c r="Q473" s="3"/>
      <c r="R473" s="3"/>
      <c r="S473" s="3"/>
      <c r="T473" s="3"/>
      <c r="U473" s="3"/>
      <c r="V473" s="3"/>
      <c r="W473" s="3"/>
      <c r="X473" s="3"/>
      <c r="Y473" s="3"/>
      <c r="Z473" s="3"/>
      <c r="AA473" s="3"/>
    </row>
    <row r="474" spans="1:27" ht="14.25" customHeight="1">
      <c r="A474" s="2">
        <v>46178</v>
      </c>
      <c r="B474" s="3" t="s">
        <v>72</v>
      </c>
      <c r="C474" s="3" t="s">
        <v>73</v>
      </c>
      <c r="D474" s="3" t="s">
        <v>72</v>
      </c>
      <c r="E474" s="3" t="s">
        <v>1866</v>
      </c>
      <c r="F474" s="3"/>
      <c r="G474" s="3" t="s">
        <v>19</v>
      </c>
      <c r="H474" s="3"/>
      <c r="I474" s="3" t="s">
        <v>45</v>
      </c>
      <c r="J474" s="3"/>
      <c r="K474" s="3" t="s">
        <v>28</v>
      </c>
      <c r="L474" s="3" t="s">
        <v>28</v>
      </c>
      <c r="M474" s="3" t="s">
        <v>1867</v>
      </c>
      <c r="N474" s="3" t="s">
        <v>1868</v>
      </c>
      <c r="O474" s="3" t="s">
        <v>48</v>
      </c>
      <c r="P474" s="3" t="s">
        <v>1869</v>
      </c>
      <c r="Q474" s="3"/>
      <c r="R474" s="3"/>
      <c r="S474" s="3"/>
      <c r="T474" s="3"/>
      <c r="U474" s="3"/>
      <c r="V474" s="3"/>
      <c r="W474" s="3"/>
      <c r="X474" s="3"/>
      <c r="Y474" s="3"/>
      <c r="Z474" s="3"/>
      <c r="AA474" s="3"/>
    </row>
    <row r="475" spans="1:27" ht="14.25" customHeight="1">
      <c r="A475" s="2">
        <v>46178</v>
      </c>
      <c r="B475" s="3" t="s">
        <v>1030</v>
      </c>
      <c r="C475" s="3" t="s">
        <v>1031</v>
      </c>
      <c r="D475" s="3" t="s">
        <v>1032</v>
      </c>
      <c r="E475" s="3" t="s">
        <v>1039</v>
      </c>
      <c r="F475" s="3"/>
      <c r="G475" s="3" t="s">
        <v>1034</v>
      </c>
      <c r="H475" s="3"/>
      <c r="I475" s="3" t="s">
        <v>20</v>
      </c>
      <c r="J475" s="3"/>
      <c r="K475" s="3" t="s">
        <v>21</v>
      </c>
      <c r="L475" s="3" t="s">
        <v>21</v>
      </c>
      <c r="M475" s="3" t="s">
        <v>1870</v>
      </c>
      <c r="N475" s="3" t="s">
        <v>1861</v>
      </c>
      <c r="O475" s="3" t="s">
        <v>1863</v>
      </c>
      <c r="P475" s="3" t="s">
        <v>1043</v>
      </c>
      <c r="Q475" s="3"/>
      <c r="R475" s="3"/>
      <c r="S475" s="3"/>
      <c r="T475" s="3"/>
      <c r="U475" s="3"/>
      <c r="V475" s="3"/>
      <c r="W475" s="3"/>
      <c r="X475" s="3"/>
      <c r="Y475" s="3"/>
      <c r="Z475" s="3"/>
      <c r="AA475" s="3"/>
    </row>
    <row r="476" spans="1:27" ht="14.25" customHeight="1">
      <c r="A476" s="2">
        <v>46178</v>
      </c>
      <c r="B476" s="3" t="s">
        <v>978</v>
      </c>
      <c r="C476" s="3" t="s">
        <v>979</v>
      </c>
      <c r="D476" s="3" t="s">
        <v>978</v>
      </c>
      <c r="E476" s="3" t="s">
        <v>1871</v>
      </c>
      <c r="F476" s="3"/>
      <c r="G476" s="3" t="s">
        <v>1034</v>
      </c>
      <c r="H476" s="3"/>
      <c r="I476" s="3" t="s">
        <v>45</v>
      </c>
      <c r="J476" s="3"/>
      <c r="K476" s="3" t="s">
        <v>21</v>
      </c>
      <c r="L476" s="3" t="s">
        <v>28</v>
      </c>
      <c r="M476" s="3" t="s">
        <v>1872</v>
      </c>
      <c r="N476" s="3" t="s">
        <v>1873</v>
      </c>
      <c r="O476" s="3" t="s">
        <v>1874</v>
      </c>
      <c r="P476" s="3" t="s">
        <v>1875</v>
      </c>
      <c r="Q476" s="3"/>
      <c r="R476" s="3"/>
      <c r="S476" s="3"/>
      <c r="T476" s="3"/>
      <c r="U476" s="3"/>
      <c r="V476" s="3"/>
      <c r="W476" s="3"/>
      <c r="X476" s="3"/>
      <c r="Y476" s="3"/>
      <c r="Z476" s="3"/>
      <c r="AA476" s="3"/>
    </row>
    <row r="477" spans="1:27" ht="14.25" customHeight="1">
      <c r="A477" s="2">
        <v>46178</v>
      </c>
      <c r="B477" s="3" t="s">
        <v>978</v>
      </c>
      <c r="C477" s="3" t="s">
        <v>979</v>
      </c>
      <c r="D477" s="3" t="s">
        <v>978</v>
      </c>
      <c r="E477" s="3" t="s">
        <v>1876</v>
      </c>
      <c r="F477" s="3"/>
      <c r="G477" s="3" t="s">
        <v>981</v>
      </c>
      <c r="H477" s="3"/>
      <c r="I477" s="3" t="s">
        <v>20</v>
      </c>
      <c r="J477" s="3"/>
      <c r="K477" s="3" t="s">
        <v>21</v>
      </c>
      <c r="L477" s="3" t="s">
        <v>28</v>
      </c>
      <c r="M477" s="3" t="s">
        <v>1877</v>
      </c>
      <c r="N477" s="3" t="s">
        <v>1878</v>
      </c>
      <c r="O477" s="3" t="s">
        <v>1879</v>
      </c>
      <c r="P477" s="3" t="s">
        <v>30</v>
      </c>
      <c r="Q477" s="3"/>
      <c r="R477" s="3"/>
      <c r="S477" s="3"/>
      <c r="T477" s="3"/>
      <c r="U477" s="3"/>
      <c r="V477" s="3"/>
      <c r="W477" s="3"/>
      <c r="X477" s="3"/>
      <c r="Y477" s="3"/>
      <c r="Z477" s="3"/>
      <c r="AA477" s="3"/>
    </row>
    <row r="478" spans="1:27" ht="14.25" customHeight="1">
      <c r="A478" s="2">
        <v>46178</v>
      </c>
      <c r="B478" s="3" t="s">
        <v>978</v>
      </c>
      <c r="C478" s="3" t="s">
        <v>979</v>
      </c>
      <c r="D478" s="3" t="s">
        <v>978</v>
      </c>
      <c r="E478" s="3" t="s">
        <v>1876</v>
      </c>
      <c r="F478" s="3"/>
      <c r="G478" s="3" t="s">
        <v>981</v>
      </c>
      <c r="H478" s="3"/>
      <c r="I478" s="3" t="s">
        <v>20</v>
      </c>
      <c r="J478" s="3"/>
      <c r="K478" s="3" t="s">
        <v>21</v>
      </c>
      <c r="L478" s="3" t="s">
        <v>28</v>
      </c>
      <c r="M478" s="3" t="s">
        <v>1880</v>
      </c>
      <c r="N478" s="3" t="s">
        <v>1881</v>
      </c>
      <c r="O478" s="3" t="s">
        <v>1882</v>
      </c>
      <c r="P478" s="3" t="s">
        <v>92</v>
      </c>
      <c r="Q478" s="3"/>
      <c r="R478" s="3"/>
      <c r="S478" s="3"/>
      <c r="T478" s="3"/>
      <c r="U478" s="3"/>
      <c r="V478" s="3"/>
      <c r="W478" s="3"/>
      <c r="X478" s="3"/>
      <c r="Y478" s="3"/>
      <c r="Z478" s="3"/>
      <c r="AA478" s="3"/>
    </row>
    <row r="479" spans="1:27" ht="14.25" customHeight="1">
      <c r="A479" s="2">
        <v>46178</v>
      </c>
      <c r="B479" s="3" t="s">
        <v>81</v>
      </c>
      <c r="C479" s="3" t="s">
        <v>82</v>
      </c>
      <c r="D479" s="3" t="s">
        <v>475</v>
      </c>
      <c r="E479" s="3" t="s">
        <v>1883</v>
      </c>
      <c r="F479" s="3"/>
      <c r="G479" s="3" t="s">
        <v>19</v>
      </c>
      <c r="H479" s="3"/>
      <c r="I479" s="3" t="s">
        <v>20</v>
      </c>
      <c r="J479" s="3"/>
      <c r="K479" s="3" t="s">
        <v>21</v>
      </c>
      <c r="L479" s="3" t="s">
        <v>21</v>
      </c>
      <c r="M479" s="3" t="s">
        <v>1884</v>
      </c>
      <c r="N479" s="3" t="s">
        <v>1885</v>
      </c>
      <c r="O479" s="3" t="s">
        <v>1886</v>
      </c>
      <c r="P479" s="3" t="s">
        <v>30</v>
      </c>
      <c r="Q479" s="3"/>
      <c r="R479" s="3"/>
      <c r="S479" s="3"/>
      <c r="T479" s="3"/>
      <c r="U479" s="3"/>
      <c r="V479" s="3"/>
      <c r="W479" s="3"/>
      <c r="X479" s="3"/>
      <c r="Y479" s="3"/>
      <c r="Z479" s="3"/>
      <c r="AA479" s="3"/>
    </row>
    <row r="480" spans="1:27" ht="14.25" customHeight="1">
      <c r="A480" s="2">
        <v>46178</v>
      </c>
      <c r="B480" s="3" t="s">
        <v>978</v>
      </c>
      <c r="C480" s="3" t="s">
        <v>979</v>
      </c>
      <c r="D480" s="3" t="s">
        <v>978</v>
      </c>
      <c r="E480" s="3" t="s">
        <v>1876</v>
      </c>
      <c r="F480" s="3"/>
      <c r="G480" s="3" t="s">
        <v>981</v>
      </c>
      <c r="H480" s="3"/>
      <c r="I480" s="3" t="s">
        <v>20</v>
      </c>
      <c r="J480" s="3" t="s">
        <v>21</v>
      </c>
      <c r="K480" s="3" t="s">
        <v>21</v>
      </c>
      <c r="L480" s="3" t="s">
        <v>28</v>
      </c>
      <c r="M480" s="3" t="s">
        <v>1887</v>
      </c>
      <c r="N480" s="3" t="s">
        <v>1888</v>
      </c>
      <c r="O480" s="3" t="s">
        <v>1879</v>
      </c>
      <c r="P480" s="3" t="s">
        <v>30</v>
      </c>
      <c r="Q480" s="3"/>
      <c r="R480" s="3"/>
      <c r="S480" s="3"/>
      <c r="T480" s="3"/>
      <c r="U480" s="3"/>
      <c r="V480" s="3"/>
      <c r="W480" s="3"/>
      <c r="X480" s="3"/>
      <c r="Y480" s="3"/>
      <c r="Z480" s="3"/>
      <c r="AA480" s="3"/>
    </row>
    <row r="481" spans="1:27" ht="14.25" customHeight="1">
      <c r="A481" s="2">
        <v>46178</v>
      </c>
      <c r="B481" s="3" t="s">
        <v>15</v>
      </c>
      <c r="C481" s="3" t="s">
        <v>16</v>
      </c>
      <c r="D481" s="3" t="s">
        <v>1064</v>
      </c>
      <c r="E481" s="3" t="s">
        <v>1889</v>
      </c>
      <c r="F481" s="3"/>
      <c r="G481" s="3" t="s">
        <v>19</v>
      </c>
      <c r="H481" s="3"/>
      <c r="I481" s="3" t="s">
        <v>20</v>
      </c>
      <c r="J481" s="3"/>
      <c r="K481" s="3" t="s">
        <v>21</v>
      </c>
      <c r="L481" s="3" t="s">
        <v>21</v>
      </c>
      <c r="M481" s="3" t="s">
        <v>1890</v>
      </c>
      <c r="N481" s="3" t="s">
        <v>1891</v>
      </c>
      <c r="O481" s="3" t="s">
        <v>1892</v>
      </c>
      <c r="P481" s="3" t="s">
        <v>30</v>
      </c>
      <c r="Q481" s="3"/>
      <c r="R481" s="3"/>
      <c r="S481" s="3"/>
      <c r="T481" s="3"/>
      <c r="U481" s="3"/>
      <c r="V481" s="3"/>
      <c r="W481" s="3"/>
      <c r="X481" s="3"/>
      <c r="Y481" s="3"/>
      <c r="Z481" s="3"/>
      <c r="AA481" s="3"/>
    </row>
    <row r="482" spans="1:27" ht="14.25" customHeight="1">
      <c r="A482" s="2">
        <v>46178</v>
      </c>
      <c r="B482" s="3" t="s">
        <v>72</v>
      </c>
      <c r="C482" s="3" t="s">
        <v>73</v>
      </c>
      <c r="D482" s="3" t="s">
        <v>72</v>
      </c>
      <c r="E482" s="3" t="s">
        <v>1893</v>
      </c>
      <c r="F482" s="3"/>
      <c r="G482" s="3" t="s">
        <v>19</v>
      </c>
      <c r="H482" s="3"/>
      <c r="I482" s="3" t="s">
        <v>45</v>
      </c>
      <c r="J482" s="3"/>
      <c r="K482" s="3" t="s">
        <v>28</v>
      </c>
      <c r="L482" s="3" t="s">
        <v>28</v>
      </c>
      <c r="M482" s="3" t="s">
        <v>1894</v>
      </c>
      <c r="N482" s="3" t="s">
        <v>30</v>
      </c>
      <c r="O482" s="3" t="s">
        <v>48</v>
      </c>
      <c r="P482" s="3" t="s">
        <v>48</v>
      </c>
      <c r="Q482" s="3"/>
      <c r="R482" s="3"/>
      <c r="S482" s="3"/>
      <c r="T482" s="3"/>
      <c r="U482" s="3"/>
      <c r="V482" s="3"/>
      <c r="W482" s="3"/>
      <c r="X482" s="3"/>
      <c r="Y482" s="3"/>
      <c r="Z482" s="3"/>
      <c r="AA482" s="3"/>
    </row>
    <row r="483" spans="1:27" ht="14.25" customHeight="1">
      <c r="A483" s="2">
        <v>46178</v>
      </c>
      <c r="B483" s="3" t="s">
        <v>978</v>
      </c>
      <c r="C483" s="3" t="s">
        <v>979</v>
      </c>
      <c r="D483" s="3" t="s">
        <v>978</v>
      </c>
      <c r="E483" s="3" t="s">
        <v>1895</v>
      </c>
      <c r="F483" s="3"/>
      <c r="G483" s="3" t="s">
        <v>1034</v>
      </c>
      <c r="H483" s="3"/>
      <c r="I483" s="3" t="s">
        <v>45</v>
      </c>
      <c r="J483" s="3"/>
      <c r="K483" s="3" t="s">
        <v>21</v>
      </c>
      <c r="L483" s="3" t="s">
        <v>28</v>
      </c>
      <c r="M483" s="3" t="s">
        <v>1896</v>
      </c>
      <c r="N483" s="3" t="s">
        <v>30</v>
      </c>
      <c r="O483" s="3" t="s">
        <v>1897</v>
      </c>
      <c r="P483" s="3" t="s">
        <v>30</v>
      </c>
      <c r="Q483" s="3"/>
      <c r="R483" s="3"/>
      <c r="S483" s="3"/>
      <c r="T483" s="3"/>
      <c r="U483" s="3"/>
      <c r="V483" s="3"/>
      <c r="W483" s="3"/>
      <c r="X483" s="3"/>
      <c r="Y483" s="3"/>
      <c r="Z483" s="3"/>
      <c r="AA483" s="3"/>
    </row>
    <row r="484" spans="1:27" ht="14.25" customHeight="1">
      <c r="A484" s="2">
        <v>46178</v>
      </c>
      <c r="B484" s="3" t="s">
        <v>72</v>
      </c>
      <c r="C484" s="3" t="s">
        <v>73</v>
      </c>
      <c r="D484" s="3" t="s">
        <v>72</v>
      </c>
      <c r="E484" s="3" t="s">
        <v>1898</v>
      </c>
      <c r="F484" s="3"/>
      <c r="G484" s="3" t="s">
        <v>19</v>
      </c>
      <c r="H484" s="3"/>
      <c r="I484" s="3" t="s">
        <v>45</v>
      </c>
      <c r="J484" s="3"/>
      <c r="K484" s="3" t="s">
        <v>28</v>
      </c>
      <c r="L484" s="3" t="s">
        <v>28</v>
      </c>
      <c r="M484" s="3" t="s">
        <v>1899</v>
      </c>
      <c r="N484" s="3" t="s">
        <v>1900</v>
      </c>
      <c r="O484" s="3" t="s">
        <v>1901</v>
      </c>
      <c r="P484" s="3" t="s">
        <v>1902</v>
      </c>
      <c r="Q484" s="3"/>
      <c r="R484" s="3"/>
      <c r="S484" s="3"/>
      <c r="T484" s="3"/>
      <c r="U484" s="3"/>
      <c r="V484" s="3"/>
      <c r="W484" s="3"/>
      <c r="X484" s="3"/>
      <c r="Y484" s="3"/>
      <c r="Z484" s="3"/>
      <c r="AA484" s="3"/>
    </row>
    <row r="485" spans="1:27" ht="14.25" customHeight="1">
      <c r="A485" s="2">
        <v>46178</v>
      </c>
      <c r="B485" s="3" t="s">
        <v>150</v>
      </c>
      <c r="C485" s="3" t="s">
        <v>151</v>
      </c>
      <c r="D485" s="3" t="s">
        <v>150</v>
      </c>
      <c r="E485" s="3" t="s">
        <v>1903</v>
      </c>
      <c r="F485" s="3"/>
      <c r="G485" s="3" t="s">
        <v>19</v>
      </c>
      <c r="H485" s="3"/>
      <c r="I485" s="3" t="s">
        <v>20</v>
      </c>
      <c r="J485" s="3"/>
      <c r="K485" s="3" t="s">
        <v>28</v>
      </c>
      <c r="L485" s="3" t="s">
        <v>28</v>
      </c>
      <c r="M485" s="3" t="s">
        <v>1904</v>
      </c>
      <c r="N485" s="3" t="s">
        <v>30</v>
      </c>
      <c r="O485" s="3" t="s">
        <v>48</v>
      </c>
      <c r="P485" s="3"/>
      <c r="Q485" s="3"/>
      <c r="R485" s="3"/>
      <c r="S485" s="3"/>
      <c r="T485" s="3"/>
      <c r="U485" s="3"/>
      <c r="V485" s="3"/>
      <c r="W485" s="3"/>
      <c r="X485" s="3"/>
      <c r="Y485" s="3"/>
      <c r="Z485" s="3"/>
      <c r="AA485" s="3"/>
    </row>
    <row r="486" spans="1:27" ht="14.25" customHeight="1">
      <c r="A486" s="2">
        <v>46178</v>
      </c>
      <c r="B486" s="3" t="s">
        <v>15</v>
      </c>
      <c r="C486" s="3" t="s">
        <v>16</v>
      </c>
      <c r="D486" s="3" t="s">
        <v>1064</v>
      </c>
      <c r="E486" s="3" t="s">
        <v>1905</v>
      </c>
      <c r="F486" s="3"/>
      <c r="G486" s="3" t="s">
        <v>19</v>
      </c>
      <c r="H486" s="3"/>
      <c r="I486" s="3" t="s">
        <v>20</v>
      </c>
      <c r="J486" s="3"/>
      <c r="K486" s="3" t="s">
        <v>28</v>
      </c>
      <c r="L486" s="3" t="s">
        <v>28</v>
      </c>
      <c r="M486" s="3" t="s">
        <v>1906</v>
      </c>
      <c r="N486" s="3" t="s">
        <v>1907</v>
      </c>
      <c r="O486" s="3" t="s">
        <v>1908</v>
      </c>
      <c r="P486" s="3" t="s">
        <v>30</v>
      </c>
      <c r="Q486" s="3"/>
      <c r="R486" s="3"/>
      <c r="S486" s="3"/>
      <c r="T486" s="3"/>
      <c r="U486" s="3"/>
      <c r="V486" s="3"/>
      <c r="W486" s="3"/>
      <c r="X486" s="3"/>
      <c r="Y486" s="3"/>
      <c r="Z486" s="3"/>
      <c r="AA486" s="3"/>
    </row>
    <row r="487" spans="1:27" ht="14.25" customHeight="1">
      <c r="A487" s="2">
        <v>46178</v>
      </c>
      <c r="B487" s="3" t="s">
        <v>15</v>
      </c>
      <c r="C487" s="3" t="s">
        <v>16</v>
      </c>
      <c r="D487" s="3" t="s">
        <v>177</v>
      </c>
      <c r="E487" s="3" t="s">
        <v>1909</v>
      </c>
      <c r="F487" s="3"/>
      <c r="G487" s="3" t="s">
        <v>19</v>
      </c>
      <c r="H487" s="3"/>
      <c r="I487" s="3" t="s">
        <v>45</v>
      </c>
      <c r="J487" s="3"/>
      <c r="K487" s="3" t="s">
        <v>21</v>
      </c>
      <c r="L487" s="3" t="s">
        <v>21</v>
      </c>
      <c r="M487" s="3" t="s">
        <v>1910</v>
      </c>
      <c r="N487" s="3" t="s">
        <v>1911</v>
      </c>
      <c r="O487" s="3" t="s">
        <v>1912</v>
      </c>
      <c r="P487" s="3" t="s">
        <v>30</v>
      </c>
      <c r="Q487" s="3"/>
      <c r="R487" s="3"/>
      <c r="S487" s="3"/>
      <c r="T487" s="3"/>
      <c r="U487" s="3"/>
      <c r="V487" s="3"/>
      <c r="W487" s="3"/>
      <c r="X487" s="3"/>
      <c r="Y487" s="3"/>
      <c r="Z487" s="3"/>
      <c r="AA487" s="3"/>
    </row>
    <row r="488" spans="1:27" ht="14.25" customHeight="1">
      <c r="A488" s="2">
        <v>46178</v>
      </c>
      <c r="B488" s="3" t="s">
        <v>1030</v>
      </c>
      <c r="C488" s="3" t="s">
        <v>1031</v>
      </c>
      <c r="D488" s="3" t="s">
        <v>1061</v>
      </c>
      <c r="E488" s="3" t="s">
        <v>1913</v>
      </c>
      <c r="F488" s="3"/>
      <c r="G488" s="3" t="s">
        <v>1034</v>
      </c>
      <c r="H488" s="3"/>
      <c r="I488" s="3" t="s">
        <v>20</v>
      </c>
      <c r="J488" s="3"/>
      <c r="K488" s="3" t="s">
        <v>21</v>
      </c>
      <c r="L488" s="3" t="s">
        <v>21</v>
      </c>
      <c r="M488" s="3" t="s">
        <v>1914</v>
      </c>
      <c r="N488" s="3" t="s">
        <v>1915</v>
      </c>
      <c r="O488" s="3" t="s">
        <v>1916</v>
      </c>
      <c r="P488" s="3" t="s">
        <v>123</v>
      </c>
      <c r="Q488" s="3"/>
      <c r="R488" s="3"/>
      <c r="S488" s="3"/>
      <c r="T488" s="3"/>
      <c r="U488" s="3"/>
      <c r="V488" s="3"/>
      <c r="W488" s="3"/>
      <c r="X488" s="3"/>
      <c r="Y488" s="3"/>
      <c r="Z488" s="3"/>
      <c r="AA488" s="3"/>
    </row>
    <row r="489" spans="1:27" ht="14.25" customHeight="1">
      <c r="A489" s="2">
        <v>46178</v>
      </c>
      <c r="B489" s="3" t="s">
        <v>978</v>
      </c>
      <c r="C489" s="3" t="s">
        <v>979</v>
      </c>
      <c r="D489" s="3" t="s">
        <v>978</v>
      </c>
      <c r="E489" s="3" t="s">
        <v>1917</v>
      </c>
      <c r="F489" s="3"/>
      <c r="G489" s="3" t="s">
        <v>1034</v>
      </c>
      <c r="H489" s="3"/>
      <c r="I489" s="3" t="s">
        <v>45</v>
      </c>
      <c r="J489" s="3"/>
      <c r="K489" s="3" t="s">
        <v>21</v>
      </c>
      <c r="L489" s="3" t="s">
        <v>28</v>
      </c>
      <c r="M489" s="3" t="s">
        <v>1918</v>
      </c>
      <c r="N489" s="3" t="s">
        <v>1919</v>
      </c>
      <c r="O489" s="3" t="s">
        <v>1920</v>
      </c>
      <c r="P489" s="3" t="s">
        <v>1921</v>
      </c>
      <c r="Q489" s="3"/>
      <c r="R489" s="3"/>
      <c r="S489" s="3"/>
      <c r="T489" s="3"/>
      <c r="U489" s="3"/>
      <c r="V489" s="3"/>
      <c r="W489" s="3"/>
      <c r="X489" s="3"/>
      <c r="Y489" s="3"/>
      <c r="Z489" s="3"/>
      <c r="AA489" s="3"/>
    </row>
    <row r="490" spans="1:27" ht="14.25" customHeight="1">
      <c r="A490" s="2">
        <v>46178</v>
      </c>
      <c r="B490" s="3" t="s">
        <v>978</v>
      </c>
      <c r="C490" s="3" t="s">
        <v>979</v>
      </c>
      <c r="D490" s="3" t="s">
        <v>978</v>
      </c>
      <c r="E490" s="3" t="s">
        <v>1922</v>
      </c>
      <c r="F490" s="3"/>
      <c r="G490" s="3" t="s">
        <v>981</v>
      </c>
      <c r="H490" s="3"/>
      <c r="I490" s="3" t="s">
        <v>45</v>
      </c>
      <c r="J490" s="3"/>
      <c r="K490" s="3" t="s">
        <v>28</v>
      </c>
      <c r="L490" s="3" t="s">
        <v>21</v>
      </c>
      <c r="M490" s="3" t="s">
        <v>1923</v>
      </c>
      <c r="N490" s="3" t="s">
        <v>1924</v>
      </c>
      <c r="O490" s="3" t="s">
        <v>1925</v>
      </c>
      <c r="P490" s="3" t="s">
        <v>1926</v>
      </c>
      <c r="Q490" s="3"/>
      <c r="R490" s="3"/>
      <c r="S490" s="3"/>
      <c r="T490" s="3"/>
      <c r="U490" s="3"/>
      <c r="V490" s="3"/>
      <c r="W490" s="3"/>
      <c r="X490" s="3"/>
      <c r="Y490" s="3"/>
      <c r="Z490" s="3"/>
      <c r="AA490" s="3"/>
    </row>
    <row r="491" spans="1:27" ht="14.25" customHeight="1">
      <c r="A491" s="2">
        <v>46178</v>
      </c>
      <c r="B491" s="3" t="s">
        <v>978</v>
      </c>
      <c r="C491" s="3" t="s">
        <v>979</v>
      </c>
      <c r="D491" s="3" t="s">
        <v>978</v>
      </c>
      <c r="E491" s="3" t="s">
        <v>1927</v>
      </c>
      <c r="F491" s="3"/>
      <c r="G491" s="3" t="s">
        <v>1034</v>
      </c>
      <c r="H491" s="3"/>
      <c r="I491" s="3" t="s">
        <v>20</v>
      </c>
      <c r="J491" s="3"/>
      <c r="K491" s="3" t="s">
        <v>21</v>
      </c>
      <c r="L491" s="3" t="s">
        <v>21</v>
      </c>
      <c r="M491" s="3" t="s">
        <v>1928</v>
      </c>
      <c r="N491" s="3" t="s">
        <v>1929</v>
      </c>
      <c r="O491" s="3" t="s">
        <v>1930</v>
      </c>
      <c r="P491" s="3" t="s">
        <v>1931</v>
      </c>
      <c r="Q491" s="3"/>
      <c r="R491" s="3"/>
      <c r="S491" s="3"/>
      <c r="T491" s="3"/>
      <c r="U491" s="3"/>
      <c r="V491" s="3"/>
      <c r="W491" s="3"/>
      <c r="X491" s="3"/>
      <c r="Y491" s="3"/>
      <c r="Z491" s="3"/>
      <c r="AA491" s="3"/>
    </row>
    <row r="492" spans="1:27" ht="14.25" customHeight="1">
      <c r="A492" s="2">
        <v>46178</v>
      </c>
      <c r="B492" s="3" t="s">
        <v>978</v>
      </c>
      <c r="C492" s="3" t="s">
        <v>979</v>
      </c>
      <c r="D492" s="3" t="s">
        <v>978</v>
      </c>
      <c r="E492" s="3" t="s">
        <v>1932</v>
      </c>
      <c r="F492" s="3"/>
      <c r="G492" s="3" t="s">
        <v>1034</v>
      </c>
      <c r="H492" s="3"/>
      <c r="I492" s="3" t="s">
        <v>45</v>
      </c>
      <c r="J492" s="3"/>
      <c r="K492" s="3" t="s">
        <v>28</v>
      </c>
      <c r="L492" s="3" t="s">
        <v>28</v>
      </c>
      <c r="M492" s="3" t="s">
        <v>1933</v>
      </c>
      <c r="N492" s="3" t="s">
        <v>1934</v>
      </c>
      <c r="O492" s="3" t="s">
        <v>1935</v>
      </c>
      <c r="P492" s="3" t="s">
        <v>1936</v>
      </c>
      <c r="Q492" s="3"/>
      <c r="R492" s="3"/>
      <c r="S492" s="3"/>
      <c r="T492" s="3"/>
      <c r="U492" s="3"/>
      <c r="V492" s="3"/>
      <c r="W492" s="3"/>
      <c r="X492" s="3"/>
      <c r="Y492" s="3"/>
      <c r="Z492" s="3"/>
      <c r="AA492" s="3"/>
    </row>
    <row r="493" spans="1:27" ht="14.25" customHeight="1">
      <c r="A493" s="2">
        <v>46178</v>
      </c>
      <c r="B493" s="3" t="s">
        <v>15</v>
      </c>
      <c r="C493" s="3" t="s">
        <v>16</v>
      </c>
      <c r="D493" s="3" t="s">
        <v>177</v>
      </c>
      <c r="E493" s="3" t="s">
        <v>1937</v>
      </c>
      <c r="F493" s="3"/>
      <c r="G493" s="3" t="s">
        <v>19</v>
      </c>
      <c r="H493" s="3"/>
      <c r="I493" s="3" t="s">
        <v>20</v>
      </c>
      <c r="J493" s="3"/>
      <c r="K493" s="3" t="s">
        <v>21</v>
      </c>
      <c r="L493" s="3" t="s">
        <v>28</v>
      </c>
      <c r="M493" s="3" t="s">
        <v>1938</v>
      </c>
      <c r="N493" s="3" t="s">
        <v>1939</v>
      </c>
      <c r="O493" s="3" t="s">
        <v>1940</v>
      </c>
      <c r="P493" s="3" t="s">
        <v>1941</v>
      </c>
      <c r="Q493" s="3"/>
      <c r="R493" s="3"/>
      <c r="S493" s="3"/>
      <c r="T493" s="3"/>
      <c r="U493" s="3"/>
      <c r="V493" s="3"/>
      <c r="W493" s="3"/>
      <c r="X493" s="3"/>
      <c r="Y493" s="3"/>
      <c r="Z493" s="3"/>
      <c r="AA493" s="3"/>
    </row>
    <row r="494" spans="1:27" ht="14.25" customHeight="1">
      <c r="A494" s="2">
        <v>46178</v>
      </c>
      <c r="B494" s="3" t="s">
        <v>978</v>
      </c>
      <c r="C494" s="3" t="s">
        <v>979</v>
      </c>
      <c r="D494" s="3" t="s">
        <v>978</v>
      </c>
      <c r="E494" s="3" t="s">
        <v>1942</v>
      </c>
      <c r="F494" s="3"/>
      <c r="G494" s="3" t="s">
        <v>1034</v>
      </c>
      <c r="H494" s="3"/>
      <c r="I494" s="3" t="s">
        <v>45</v>
      </c>
      <c r="J494" s="3"/>
      <c r="K494" s="3" t="s">
        <v>28</v>
      </c>
      <c r="L494" s="3" t="s">
        <v>28</v>
      </c>
      <c r="M494" s="3" t="s">
        <v>1943</v>
      </c>
      <c r="N494" s="3" t="s">
        <v>1944</v>
      </c>
      <c r="O494" s="3" t="s">
        <v>1945</v>
      </c>
      <c r="P494" s="3" t="s">
        <v>1946</v>
      </c>
      <c r="Q494" s="3"/>
      <c r="R494" s="3"/>
      <c r="S494" s="3"/>
      <c r="T494" s="3"/>
      <c r="U494" s="3"/>
      <c r="V494" s="3"/>
      <c r="W494" s="3"/>
      <c r="X494" s="3"/>
      <c r="Y494" s="3"/>
      <c r="Z494" s="3"/>
      <c r="AA494" s="3"/>
    </row>
    <row r="495" spans="1:27" ht="14.25" customHeight="1">
      <c r="A495" s="2">
        <v>46178</v>
      </c>
      <c r="B495" s="3" t="s">
        <v>978</v>
      </c>
      <c r="C495" s="3" t="s">
        <v>979</v>
      </c>
      <c r="D495" s="3" t="s">
        <v>978</v>
      </c>
      <c r="E495" s="3" t="s">
        <v>1947</v>
      </c>
      <c r="F495" s="3"/>
      <c r="G495" s="3" t="s">
        <v>1034</v>
      </c>
      <c r="H495" s="3"/>
      <c r="I495" s="3" t="s">
        <v>20</v>
      </c>
      <c r="J495" s="3"/>
      <c r="K495" s="3" t="s">
        <v>28</v>
      </c>
      <c r="L495" s="3" t="s">
        <v>28</v>
      </c>
      <c r="M495" s="3" t="s">
        <v>1948</v>
      </c>
      <c r="N495" s="3" t="s">
        <v>1949</v>
      </c>
      <c r="O495" s="3" t="s">
        <v>1950</v>
      </c>
      <c r="P495" s="3" t="s">
        <v>1951</v>
      </c>
      <c r="Q495" s="3"/>
      <c r="R495" s="3"/>
      <c r="S495" s="3"/>
      <c r="T495" s="3"/>
      <c r="U495" s="3"/>
      <c r="V495" s="3"/>
      <c r="W495" s="3"/>
      <c r="X495" s="3"/>
      <c r="Y495" s="3"/>
      <c r="Z495" s="3"/>
      <c r="AA495" s="3"/>
    </row>
    <row r="496" spans="1:27" ht="14.25" customHeight="1">
      <c r="A496" s="2">
        <v>46178</v>
      </c>
      <c r="B496" s="3" t="s">
        <v>1030</v>
      </c>
      <c r="C496" s="3" t="s">
        <v>1031</v>
      </c>
      <c r="D496" s="3" t="s">
        <v>1061</v>
      </c>
      <c r="E496" s="3" t="s">
        <v>1952</v>
      </c>
      <c r="F496" s="3"/>
      <c r="G496" s="3" t="s">
        <v>981</v>
      </c>
      <c r="H496" s="3"/>
      <c r="I496" s="3" t="s">
        <v>20</v>
      </c>
      <c r="J496" s="3"/>
      <c r="K496" s="3" t="s">
        <v>28</v>
      </c>
      <c r="L496" s="3" t="s">
        <v>28</v>
      </c>
      <c r="M496" s="3" t="s">
        <v>1953</v>
      </c>
      <c r="N496" s="3" t="s">
        <v>1328</v>
      </c>
      <c r="O496" s="3" t="s">
        <v>30</v>
      </c>
      <c r="P496" s="3"/>
      <c r="Q496" s="3"/>
      <c r="R496" s="3"/>
      <c r="S496" s="3"/>
      <c r="T496" s="3"/>
      <c r="U496" s="3"/>
      <c r="V496" s="3"/>
      <c r="W496" s="3"/>
      <c r="X496" s="3"/>
      <c r="Y496" s="3"/>
      <c r="Z496" s="3"/>
      <c r="AA496" s="3"/>
    </row>
    <row r="497" spans="1:27" ht="14.25" customHeight="1">
      <c r="A497" s="2">
        <v>46178</v>
      </c>
      <c r="B497" s="3" t="s">
        <v>978</v>
      </c>
      <c r="C497" s="3" t="s">
        <v>979</v>
      </c>
      <c r="D497" s="3" t="s">
        <v>978</v>
      </c>
      <c r="E497" s="3" t="s">
        <v>1954</v>
      </c>
      <c r="F497" s="3"/>
      <c r="G497" s="3" t="s">
        <v>1034</v>
      </c>
      <c r="H497" s="3"/>
      <c r="I497" s="3" t="s">
        <v>45</v>
      </c>
      <c r="J497" s="3"/>
      <c r="K497" s="3" t="s">
        <v>21</v>
      </c>
      <c r="L497" s="3" t="s">
        <v>21</v>
      </c>
      <c r="M497" s="3" t="s">
        <v>1955</v>
      </c>
      <c r="N497" s="3" t="s">
        <v>1956</v>
      </c>
      <c r="O497" s="3" t="s">
        <v>1957</v>
      </c>
      <c r="P497" s="3" t="s">
        <v>1958</v>
      </c>
      <c r="Q497" s="3"/>
      <c r="R497" s="3"/>
      <c r="S497" s="3"/>
      <c r="T497" s="3"/>
      <c r="U497" s="3"/>
      <c r="V497" s="3"/>
      <c r="W497" s="3"/>
      <c r="X497" s="3"/>
      <c r="Y497" s="3"/>
      <c r="Z497" s="3"/>
      <c r="AA497" s="3"/>
    </row>
    <row r="498" spans="1:27" ht="14.25" customHeight="1">
      <c r="A498" s="2">
        <v>46178</v>
      </c>
      <c r="B498" s="3" t="s">
        <v>81</v>
      </c>
      <c r="C498" s="3" t="s">
        <v>82</v>
      </c>
      <c r="D498" s="3" t="s">
        <v>83</v>
      </c>
      <c r="E498" s="3" t="s">
        <v>1959</v>
      </c>
      <c r="F498" s="3"/>
      <c r="G498" s="3" t="s">
        <v>19</v>
      </c>
      <c r="H498" s="3"/>
      <c r="I498" s="3" t="s">
        <v>20</v>
      </c>
      <c r="J498" s="3"/>
      <c r="K498" s="3" t="s">
        <v>21</v>
      </c>
      <c r="L498" s="3" t="s">
        <v>21</v>
      </c>
      <c r="M498" s="3" t="s">
        <v>1960</v>
      </c>
      <c r="N498" s="3" t="s">
        <v>1961</v>
      </c>
      <c r="O498" s="3" t="s">
        <v>1962</v>
      </c>
      <c r="P498" s="3" t="s">
        <v>1963</v>
      </c>
      <c r="Q498" s="3"/>
      <c r="R498" s="3"/>
      <c r="S498" s="3"/>
      <c r="T498" s="3"/>
      <c r="U498" s="3"/>
      <c r="V498" s="3"/>
      <c r="W498" s="3"/>
      <c r="X498" s="3"/>
      <c r="Y498" s="3"/>
      <c r="Z498" s="3"/>
      <c r="AA498" s="3"/>
    </row>
    <row r="499" spans="1:27" ht="14.25" customHeight="1">
      <c r="A499" s="2">
        <v>46178</v>
      </c>
      <c r="B499" s="3" t="s">
        <v>978</v>
      </c>
      <c r="C499" s="3" t="s">
        <v>979</v>
      </c>
      <c r="D499" s="3" t="s">
        <v>978</v>
      </c>
      <c r="E499" s="3" t="s">
        <v>1932</v>
      </c>
      <c r="F499" s="3"/>
      <c r="G499" s="3" t="s">
        <v>1034</v>
      </c>
      <c r="H499" s="3"/>
      <c r="I499" s="3" t="s">
        <v>45</v>
      </c>
      <c r="J499" s="3"/>
      <c r="K499" s="3" t="s">
        <v>28</v>
      </c>
      <c r="L499" s="3" t="s">
        <v>28</v>
      </c>
      <c r="M499" s="3" t="s">
        <v>1964</v>
      </c>
      <c r="N499" s="3" t="s">
        <v>1934</v>
      </c>
      <c r="O499" s="3" t="s">
        <v>1965</v>
      </c>
      <c r="P499" s="3" t="s">
        <v>1966</v>
      </c>
      <c r="Q499" s="3"/>
      <c r="R499" s="3"/>
      <c r="S499" s="3"/>
      <c r="T499" s="3"/>
      <c r="U499" s="3"/>
      <c r="V499" s="3"/>
      <c r="W499" s="3"/>
      <c r="X499" s="3"/>
      <c r="Y499" s="3"/>
      <c r="Z499" s="3"/>
      <c r="AA499" s="3"/>
    </row>
    <row r="500" spans="1:27" ht="14.25" customHeight="1">
      <c r="A500" s="2">
        <v>46178</v>
      </c>
      <c r="B500" s="3" t="s">
        <v>1030</v>
      </c>
      <c r="C500" s="3" t="s">
        <v>1031</v>
      </c>
      <c r="D500" s="3" t="s">
        <v>1061</v>
      </c>
      <c r="E500" s="3" t="s">
        <v>1967</v>
      </c>
      <c r="F500" s="3"/>
      <c r="G500" s="3" t="s">
        <v>981</v>
      </c>
      <c r="H500" s="3"/>
      <c r="I500" s="3" t="s">
        <v>20</v>
      </c>
      <c r="J500" s="3"/>
      <c r="K500" s="3" t="s">
        <v>21</v>
      </c>
      <c r="L500" s="3" t="s">
        <v>21</v>
      </c>
      <c r="M500" s="3" t="s">
        <v>1968</v>
      </c>
      <c r="N500" s="3" t="s">
        <v>30</v>
      </c>
      <c r="O500" s="3" t="s">
        <v>1969</v>
      </c>
      <c r="P500" s="3"/>
      <c r="Q500" s="3"/>
      <c r="R500" s="3"/>
      <c r="S500" s="3"/>
      <c r="T500" s="3"/>
      <c r="U500" s="3"/>
      <c r="V500" s="3"/>
      <c r="W500" s="3"/>
      <c r="X500" s="3"/>
      <c r="Y500" s="3"/>
      <c r="Z500" s="3"/>
      <c r="AA500" s="3"/>
    </row>
    <row r="501" spans="1:27" ht="14.25" customHeight="1">
      <c r="A501" s="2">
        <v>46178</v>
      </c>
      <c r="B501" s="3" t="s">
        <v>978</v>
      </c>
      <c r="C501" s="3" t="s">
        <v>979</v>
      </c>
      <c r="D501" s="3" t="s">
        <v>978</v>
      </c>
      <c r="E501" s="3" t="s">
        <v>1954</v>
      </c>
      <c r="F501" s="3"/>
      <c r="G501" s="3" t="s">
        <v>1034</v>
      </c>
      <c r="H501" s="3"/>
      <c r="I501" s="3" t="s">
        <v>45</v>
      </c>
      <c r="J501" s="3"/>
      <c r="K501" s="3" t="s">
        <v>21</v>
      </c>
      <c r="L501" s="3" t="s">
        <v>21</v>
      </c>
      <c r="M501" s="3" t="s">
        <v>1970</v>
      </c>
      <c r="N501" s="3" t="s">
        <v>1971</v>
      </c>
      <c r="O501" s="3" t="s">
        <v>1972</v>
      </c>
      <c r="P501" s="3" t="s">
        <v>1973</v>
      </c>
      <c r="Q501" s="3"/>
      <c r="R501" s="3"/>
      <c r="S501" s="3"/>
      <c r="T501" s="3"/>
      <c r="U501" s="3"/>
      <c r="V501" s="3"/>
      <c r="W501" s="3"/>
      <c r="X501" s="3"/>
      <c r="Y501" s="3"/>
      <c r="Z501" s="3"/>
      <c r="AA501" s="3"/>
    </row>
    <row r="502" spans="1:27" ht="14.25" customHeight="1">
      <c r="A502" s="2">
        <v>46178</v>
      </c>
      <c r="B502" s="3" t="s">
        <v>978</v>
      </c>
      <c r="C502" s="3" t="s">
        <v>979</v>
      </c>
      <c r="D502" s="3" t="s">
        <v>978</v>
      </c>
      <c r="E502" s="3" t="s">
        <v>1974</v>
      </c>
      <c r="F502" s="3"/>
      <c r="G502" s="3" t="s">
        <v>1034</v>
      </c>
      <c r="H502" s="3"/>
      <c r="I502" s="3" t="s">
        <v>45</v>
      </c>
      <c r="J502" s="3"/>
      <c r="K502" s="3" t="s">
        <v>21</v>
      </c>
      <c r="L502" s="3" t="s">
        <v>28</v>
      </c>
      <c r="M502" s="3" t="s">
        <v>1975</v>
      </c>
      <c r="N502" s="3" t="s">
        <v>1976</v>
      </c>
      <c r="O502" s="3" t="s">
        <v>1977</v>
      </c>
      <c r="P502" s="3" t="s">
        <v>30</v>
      </c>
      <c r="Q502" s="3"/>
      <c r="R502" s="3"/>
      <c r="S502" s="3"/>
      <c r="T502" s="3"/>
      <c r="U502" s="3"/>
      <c r="V502" s="3"/>
      <c r="W502" s="3"/>
      <c r="X502" s="3"/>
      <c r="Y502" s="3"/>
      <c r="Z502" s="3"/>
      <c r="AA502" s="3"/>
    </row>
    <row r="503" spans="1:27" ht="14.25" customHeight="1">
      <c r="A503" s="2">
        <v>46178</v>
      </c>
      <c r="B503" s="3" t="s">
        <v>978</v>
      </c>
      <c r="C503" s="3" t="s">
        <v>979</v>
      </c>
      <c r="D503" s="3" t="s">
        <v>978</v>
      </c>
      <c r="E503" s="3" t="s">
        <v>1954</v>
      </c>
      <c r="F503" s="3"/>
      <c r="G503" s="3" t="s">
        <v>1034</v>
      </c>
      <c r="H503" s="3"/>
      <c r="I503" s="3" t="s">
        <v>20</v>
      </c>
      <c r="J503" s="3"/>
      <c r="K503" s="3" t="s">
        <v>21</v>
      </c>
      <c r="L503" s="3" t="s">
        <v>21</v>
      </c>
      <c r="M503" s="3" t="s">
        <v>1978</v>
      </c>
      <c r="N503" s="3" t="s">
        <v>1979</v>
      </c>
      <c r="O503" s="3" t="s">
        <v>1980</v>
      </c>
      <c r="P503" s="3" t="s">
        <v>1981</v>
      </c>
      <c r="Q503" s="3"/>
      <c r="R503" s="3"/>
      <c r="S503" s="3"/>
      <c r="T503" s="3"/>
      <c r="U503" s="3"/>
      <c r="V503" s="3"/>
      <c r="W503" s="3"/>
      <c r="X503" s="3"/>
      <c r="Y503" s="3"/>
      <c r="Z503" s="3"/>
      <c r="AA503" s="3"/>
    </row>
    <row r="504" spans="1:27" ht="14.25" customHeight="1">
      <c r="A504" s="2">
        <v>46178</v>
      </c>
      <c r="B504" s="3" t="s">
        <v>978</v>
      </c>
      <c r="C504" s="3" t="s">
        <v>979</v>
      </c>
      <c r="D504" s="3" t="s">
        <v>978</v>
      </c>
      <c r="E504" s="3" t="s">
        <v>1856</v>
      </c>
      <c r="F504" s="3"/>
      <c r="G504" s="3" t="s">
        <v>1034</v>
      </c>
      <c r="H504" s="3"/>
      <c r="I504" s="3" t="s">
        <v>20</v>
      </c>
      <c r="J504" s="3"/>
      <c r="K504" s="3" t="s">
        <v>28</v>
      </c>
      <c r="L504" s="3" t="s">
        <v>28</v>
      </c>
      <c r="M504" s="3" t="s">
        <v>1982</v>
      </c>
      <c r="N504" s="3" t="s">
        <v>1983</v>
      </c>
      <c r="O504" s="3" t="s">
        <v>1984</v>
      </c>
      <c r="P504" s="3" t="s">
        <v>30</v>
      </c>
      <c r="Q504" s="3"/>
      <c r="R504" s="3"/>
      <c r="S504" s="3"/>
      <c r="T504" s="3"/>
      <c r="U504" s="3"/>
      <c r="V504" s="3"/>
      <c r="W504" s="3"/>
      <c r="X504" s="3"/>
      <c r="Y504" s="3"/>
      <c r="Z504" s="3"/>
      <c r="AA504" s="3"/>
    </row>
    <row r="505" spans="1:27" ht="14.25" customHeight="1">
      <c r="A505" s="2">
        <v>46178</v>
      </c>
      <c r="B505" s="3" t="s">
        <v>1030</v>
      </c>
      <c r="C505" s="3" t="s">
        <v>1031</v>
      </c>
      <c r="D505" s="3" t="s">
        <v>1032</v>
      </c>
      <c r="E505" s="3" t="s">
        <v>1985</v>
      </c>
      <c r="F505" s="3"/>
      <c r="G505" s="3" t="s">
        <v>1034</v>
      </c>
      <c r="H505" s="3"/>
      <c r="I505" s="3" t="s">
        <v>20</v>
      </c>
      <c r="J505" s="3" t="s">
        <v>21</v>
      </c>
      <c r="K505" s="3" t="s">
        <v>21</v>
      </c>
      <c r="L505" s="3" t="s">
        <v>21</v>
      </c>
      <c r="M505" s="3" t="s">
        <v>1986</v>
      </c>
      <c r="N505" s="3" t="s">
        <v>1987</v>
      </c>
      <c r="O505" s="3" t="s">
        <v>1988</v>
      </c>
      <c r="P505" s="3" t="s">
        <v>1989</v>
      </c>
      <c r="Q505" s="3"/>
      <c r="R505" s="3"/>
      <c r="S505" s="3"/>
      <c r="T505" s="3"/>
      <c r="U505" s="3"/>
      <c r="V505" s="3"/>
      <c r="W505" s="3"/>
      <c r="X505" s="3"/>
      <c r="Y505" s="3"/>
      <c r="Z505" s="3"/>
      <c r="AA505" s="3"/>
    </row>
    <row r="506" spans="1:27" ht="14.25" customHeight="1">
      <c r="A506" s="2">
        <v>46178</v>
      </c>
      <c r="B506" s="3" t="s">
        <v>978</v>
      </c>
      <c r="C506" s="3" t="s">
        <v>979</v>
      </c>
      <c r="D506" s="3" t="s">
        <v>978</v>
      </c>
      <c r="E506" s="3" t="s">
        <v>1990</v>
      </c>
      <c r="F506" s="3"/>
      <c r="G506" s="3" t="s">
        <v>1034</v>
      </c>
      <c r="H506" s="3"/>
      <c r="I506" s="3" t="s">
        <v>20</v>
      </c>
      <c r="J506" s="3"/>
      <c r="K506" s="3" t="s">
        <v>21</v>
      </c>
      <c r="L506" s="3" t="s">
        <v>28</v>
      </c>
      <c r="M506" s="3" t="s">
        <v>1991</v>
      </c>
      <c r="N506" s="3" t="s">
        <v>1992</v>
      </c>
      <c r="O506" s="3" t="s">
        <v>1993</v>
      </c>
      <c r="P506" s="3" t="s">
        <v>1806</v>
      </c>
      <c r="Q506" s="3"/>
      <c r="R506" s="3"/>
      <c r="S506" s="3"/>
      <c r="T506" s="3"/>
      <c r="U506" s="3"/>
      <c r="V506" s="3"/>
      <c r="W506" s="3"/>
      <c r="X506" s="3"/>
      <c r="Y506" s="3"/>
      <c r="Z506" s="3"/>
      <c r="AA506" s="3"/>
    </row>
    <row r="507" spans="1:27" ht="14.25" customHeight="1">
      <c r="A507" s="2">
        <v>46178</v>
      </c>
      <c r="B507" s="3" t="s">
        <v>978</v>
      </c>
      <c r="C507" s="3" t="s">
        <v>979</v>
      </c>
      <c r="D507" s="3" t="s">
        <v>978</v>
      </c>
      <c r="E507" s="3" t="s">
        <v>1994</v>
      </c>
      <c r="F507" s="3"/>
      <c r="G507" s="3" t="s">
        <v>1034</v>
      </c>
      <c r="H507" s="3"/>
      <c r="I507" s="3" t="s">
        <v>20</v>
      </c>
      <c r="J507" s="3"/>
      <c r="K507" s="3" t="s">
        <v>21</v>
      </c>
      <c r="L507" s="3" t="s">
        <v>28</v>
      </c>
      <c r="M507" s="3" t="s">
        <v>1995</v>
      </c>
      <c r="N507" s="3" t="s">
        <v>1996</v>
      </c>
      <c r="O507" s="3" t="s">
        <v>1997</v>
      </c>
      <c r="P507" s="3" t="s">
        <v>1998</v>
      </c>
      <c r="Q507" s="3"/>
      <c r="R507" s="3"/>
      <c r="S507" s="3"/>
      <c r="T507" s="3"/>
      <c r="U507" s="3"/>
      <c r="V507" s="3"/>
      <c r="W507" s="3"/>
      <c r="X507" s="3"/>
      <c r="Y507" s="3"/>
      <c r="Z507" s="3"/>
      <c r="AA507" s="3"/>
    </row>
    <row r="508" spans="1:27" ht="14.25" customHeight="1">
      <c r="A508" s="2">
        <v>46178</v>
      </c>
      <c r="B508" s="3" t="s">
        <v>978</v>
      </c>
      <c r="C508" s="3" t="s">
        <v>979</v>
      </c>
      <c r="D508" s="3" t="s">
        <v>978</v>
      </c>
      <c r="E508" s="3" t="s">
        <v>1954</v>
      </c>
      <c r="F508" s="3"/>
      <c r="G508" s="3" t="s">
        <v>1034</v>
      </c>
      <c r="H508" s="3"/>
      <c r="I508" s="3" t="s">
        <v>45</v>
      </c>
      <c r="J508" s="3"/>
      <c r="K508" s="3" t="s">
        <v>21</v>
      </c>
      <c r="L508" s="3" t="s">
        <v>21</v>
      </c>
      <c r="M508" s="3" t="s">
        <v>1999</v>
      </c>
      <c r="N508" s="3" t="s">
        <v>2000</v>
      </c>
      <c r="O508" s="3" t="s">
        <v>2001</v>
      </c>
      <c r="P508" s="3" t="s">
        <v>2002</v>
      </c>
      <c r="Q508" s="3"/>
      <c r="R508" s="3"/>
      <c r="S508" s="3"/>
      <c r="T508" s="3"/>
      <c r="U508" s="3"/>
      <c r="V508" s="3"/>
      <c r="W508" s="3"/>
      <c r="X508" s="3"/>
      <c r="Y508" s="3"/>
      <c r="Z508" s="3"/>
      <c r="AA508" s="3"/>
    </row>
    <row r="509" spans="1:27" ht="14.25" customHeight="1">
      <c r="A509" s="2">
        <v>46178</v>
      </c>
      <c r="B509" s="3" t="s">
        <v>15</v>
      </c>
      <c r="C509" s="3" t="s">
        <v>33</v>
      </c>
      <c r="D509" s="3" t="s">
        <v>62</v>
      </c>
      <c r="E509" s="3" t="s">
        <v>2003</v>
      </c>
      <c r="F509" s="3"/>
      <c r="G509" s="3" t="s">
        <v>19</v>
      </c>
      <c r="H509" s="3"/>
      <c r="I509" s="3" t="s">
        <v>45</v>
      </c>
      <c r="J509" s="3"/>
      <c r="K509" s="3" t="s">
        <v>21</v>
      </c>
      <c r="L509" s="3" t="s">
        <v>21</v>
      </c>
      <c r="M509" s="3" t="s">
        <v>2004</v>
      </c>
      <c r="N509" s="3" t="s">
        <v>2005</v>
      </c>
      <c r="O509" s="3" t="s">
        <v>2006</v>
      </c>
      <c r="P509" s="3"/>
      <c r="Q509" s="3"/>
      <c r="R509" s="3"/>
      <c r="S509" s="3"/>
      <c r="T509" s="3"/>
      <c r="U509" s="3"/>
      <c r="V509" s="3"/>
      <c r="W509" s="3"/>
      <c r="X509" s="3"/>
      <c r="Y509" s="3"/>
      <c r="Z509" s="3"/>
      <c r="AA509" s="3"/>
    </row>
    <row r="510" spans="1:27" ht="14.25" customHeight="1">
      <c r="A510" s="2">
        <v>46178</v>
      </c>
      <c r="B510" s="3" t="s">
        <v>1030</v>
      </c>
      <c r="C510" s="3" t="s">
        <v>1031</v>
      </c>
      <c r="D510" s="3" t="s">
        <v>1061</v>
      </c>
      <c r="E510" s="3" t="s">
        <v>1483</v>
      </c>
      <c r="F510" s="3"/>
      <c r="G510" s="3" t="s">
        <v>1034</v>
      </c>
      <c r="H510" s="3"/>
      <c r="I510" s="3" t="s">
        <v>20</v>
      </c>
      <c r="J510" s="3"/>
      <c r="K510" s="3" t="s">
        <v>21</v>
      </c>
      <c r="L510" s="3" t="s">
        <v>21</v>
      </c>
      <c r="M510" s="3" t="s">
        <v>2007</v>
      </c>
      <c r="N510" s="3" t="s">
        <v>2008</v>
      </c>
      <c r="O510" s="3" t="s">
        <v>2009</v>
      </c>
      <c r="P510" s="3" t="s">
        <v>2010</v>
      </c>
      <c r="Q510" s="3"/>
      <c r="R510" s="3"/>
      <c r="S510" s="3"/>
      <c r="T510" s="3"/>
      <c r="U510" s="3"/>
      <c r="V510" s="3"/>
      <c r="W510" s="3"/>
      <c r="X510" s="3"/>
      <c r="Y510" s="3"/>
      <c r="Z510" s="3"/>
      <c r="AA510" s="3"/>
    </row>
    <row r="511" spans="1:27" ht="14.25" customHeight="1">
      <c r="A511" s="2">
        <v>46178</v>
      </c>
      <c r="B511" s="3" t="s">
        <v>978</v>
      </c>
      <c r="C511" s="3" t="s">
        <v>979</v>
      </c>
      <c r="D511" s="3" t="s">
        <v>978</v>
      </c>
      <c r="E511" s="3" t="s">
        <v>1994</v>
      </c>
      <c r="F511" s="3"/>
      <c r="G511" s="3" t="s">
        <v>1034</v>
      </c>
      <c r="H511" s="3"/>
      <c r="I511" s="3" t="s">
        <v>20</v>
      </c>
      <c r="J511" s="3"/>
      <c r="K511" s="3" t="s">
        <v>28</v>
      </c>
      <c r="L511" s="3" t="s">
        <v>21</v>
      </c>
      <c r="M511" s="3" t="s">
        <v>2011</v>
      </c>
      <c r="N511" s="3" t="s">
        <v>2012</v>
      </c>
      <c r="O511" s="3" t="s">
        <v>2013</v>
      </c>
      <c r="P511" s="3" t="s">
        <v>2014</v>
      </c>
      <c r="Q511" s="3"/>
      <c r="R511" s="3"/>
      <c r="S511" s="3"/>
      <c r="T511" s="3"/>
      <c r="U511" s="3"/>
      <c r="V511" s="3"/>
      <c r="W511" s="3"/>
      <c r="X511" s="3"/>
      <c r="Y511" s="3"/>
      <c r="Z511" s="3"/>
      <c r="AA511" s="3"/>
    </row>
    <row r="512" spans="1:27" ht="14.25" customHeight="1">
      <c r="A512" s="2">
        <v>46178</v>
      </c>
      <c r="B512" s="3" t="s">
        <v>15</v>
      </c>
      <c r="C512" s="3" t="s">
        <v>33</v>
      </c>
      <c r="D512" s="3" t="s">
        <v>62</v>
      </c>
      <c r="E512" s="3" t="s">
        <v>2015</v>
      </c>
      <c r="F512" s="3"/>
      <c r="G512" s="3" t="s">
        <v>19</v>
      </c>
      <c r="H512" s="3"/>
      <c r="I512" s="3" t="s">
        <v>20</v>
      </c>
      <c r="J512" s="3"/>
      <c r="K512" s="3" t="s">
        <v>28</v>
      </c>
      <c r="L512" s="3" t="s">
        <v>28</v>
      </c>
      <c r="M512" s="3" t="s">
        <v>2016</v>
      </c>
      <c r="N512" s="3" t="s">
        <v>2017</v>
      </c>
      <c r="O512" s="3" t="s">
        <v>2018</v>
      </c>
      <c r="P512" s="3" t="s">
        <v>92</v>
      </c>
      <c r="Q512" s="3"/>
      <c r="R512" s="3"/>
      <c r="S512" s="3"/>
      <c r="T512" s="3"/>
      <c r="U512" s="3"/>
      <c r="V512" s="3"/>
      <c r="W512" s="3"/>
      <c r="X512" s="3"/>
      <c r="Y512" s="3"/>
      <c r="Z512" s="3"/>
      <c r="AA512" s="3"/>
    </row>
    <row r="513" spans="1:27" ht="14.25" customHeight="1">
      <c r="A513" s="2">
        <v>46178</v>
      </c>
      <c r="B513" s="3" t="s">
        <v>978</v>
      </c>
      <c r="C513" s="3" t="s">
        <v>979</v>
      </c>
      <c r="D513" s="3" t="s">
        <v>978</v>
      </c>
      <c r="E513" s="3" t="s">
        <v>2019</v>
      </c>
      <c r="F513" s="3"/>
      <c r="G513" s="3" t="s">
        <v>1034</v>
      </c>
      <c r="H513" s="3"/>
      <c r="I513" s="3" t="s">
        <v>20</v>
      </c>
      <c r="J513" s="3"/>
      <c r="K513" s="3" t="s">
        <v>21</v>
      </c>
      <c r="L513" s="3" t="s">
        <v>28</v>
      </c>
      <c r="M513" s="3" t="s">
        <v>2020</v>
      </c>
      <c r="N513" s="3" t="s">
        <v>2021</v>
      </c>
      <c r="O513" s="3" t="s">
        <v>2022</v>
      </c>
      <c r="P513" s="3" t="s">
        <v>30</v>
      </c>
      <c r="Q513" s="3"/>
      <c r="R513" s="3"/>
      <c r="S513" s="3"/>
      <c r="T513" s="3"/>
      <c r="U513" s="3"/>
      <c r="V513" s="3"/>
      <c r="W513" s="3"/>
      <c r="X513" s="3"/>
      <c r="Y513" s="3"/>
      <c r="Z513" s="3"/>
      <c r="AA513" s="3"/>
    </row>
    <row r="514" spans="1:27" ht="14.25" customHeight="1">
      <c r="A514" s="2">
        <v>46178</v>
      </c>
      <c r="B514" s="3" t="s">
        <v>978</v>
      </c>
      <c r="C514" s="3" t="s">
        <v>979</v>
      </c>
      <c r="D514" s="3" t="s">
        <v>978</v>
      </c>
      <c r="E514" s="3" t="s">
        <v>2023</v>
      </c>
      <c r="F514" s="3"/>
      <c r="G514" s="3" t="s">
        <v>1034</v>
      </c>
      <c r="H514" s="3"/>
      <c r="I514" s="3" t="s">
        <v>45</v>
      </c>
      <c r="J514" s="3"/>
      <c r="K514" s="3" t="s">
        <v>21</v>
      </c>
      <c r="L514" s="3" t="s">
        <v>21</v>
      </c>
      <c r="M514" s="3" t="s">
        <v>69</v>
      </c>
      <c r="N514" s="3" t="s">
        <v>2024</v>
      </c>
      <c r="O514" s="3" t="s">
        <v>2025</v>
      </c>
      <c r="P514" s="3" t="s">
        <v>2026</v>
      </c>
      <c r="Q514" s="3"/>
      <c r="R514" s="3"/>
      <c r="S514" s="3"/>
      <c r="T514" s="3"/>
      <c r="U514" s="3"/>
      <c r="V514" s="3"/>
      <c r="W514" s="3"/>
      <c r="X514" s="3"/>
      <c r="Y514" s="3"/>
      <c r="Z514" s="3"/>
      <c r="AA514" s="3"/>
    </row>
    <row r="515" spans="1:27" ht="14.25" customHeight="1">
      <c r="A515" s="2">
        <v>46178</v>
      </c>
      <c r="B515" s="3" t="s">
        <v>978</v>
      </c>
      <c r="C515" s="3" t="s">
        <v>979</v>
      </c>
      <c r="D515" s="3" t="s">
        <v>978</v>
      </c>
      <c r="E515" s="3" t="s">
        <v>2023</v>
      </c>
      <c r="F515" s="3"/>
      <c r="G515" s="3" t="s">
        <v>1034</v>
      </c>
      <c r="H515" s="3"/>
      <c r="I515" s="3" t="s">
        <v>20</v>
      </c>
      <c r="J515" s="3"/>
      <c r="K515" s="3" t="s">
        <v>21</v>
      </c>
      <c r="L515" s="3" t="s">
        <v>21</v>
      </c>
      <c r="M515" s="3" t="s">
        <v>2027</v>
      </c>
      <c r="N515" s="3" t="s">
        <v>2024</v>
      </c>
      <c r="O515" s="3" t="s">
        <v>2025</v>
      </c>
      <c r="P515" s="3" t="s">
        <v>2028</v>
      </c>
      <c r="Q515" s="3"/>
      <c r="R515" s="3"/>
      <c r="S515" s="3"/>
      <c r="T515" s="3"/>
      <c r="U515" s="3"/>
      <c r="V515" s="3"/>
      <c r="W515" s="3"/>
      <c r="X515" s="3"/>
      <c r="Y515" s="3"/>
      <c r="Z515" s="3"/>
      <c r="AA515" s="3"/>
    </row>
    <row r="516" spans="1:27" ht="14.25" customHeight="1">
      <c r="A516" s="2">
        <v>46178</v>
      </c>
      <c r="B516" s="3" t="s">
        <v>15</v>
      </c>
      <c r="C516" s="3" t="s">
        <v>39</v>
      </c>
      <c r="D516" s="3" t="s">
        <v>57</v>
      </c>
      <c r="E516" s="3" t="s">
        <v>2029</v>
      </c>
      <c r="F516" s="3"/>
      <c r="G516" s="3" t="s">
        <v>19</v>
      </c>
      <c r="H516" s="3"/>
      <c r="I516" s="3" t="s">
        <v>20</v>
      </c>
      <c r="J516" s="3"/>
      <c r="K516" s="3" t="s">
        <v>28</v>
      </c>
      <c r="L516" s="3" t="s">
        <v>28</v>
      </c>
      <c r="M516" s="3" t="s">
        <v>2030</v>
      </c>
      <c r="N516" s="3" t="s">
        <v>2031</v>
      </c>
      <c r="O516" s="3" t="s">
        <v>2032</v>
      </c>
      <c r="P516" s="3"/>
      <c r="Q516" s="3"/>
      <c r="R516" s="3"/>
      <c r="S516" s="3"/>
      <c r="T516" s="3"/>
      <c r="U516" s="3"/>
      <c r="V516" s="3"/>
      <c r="W516" s="3"/>
      <c r="X516" s="3"/>
      <c r="Y516" s="3"/>
      <c r="Z516" s="3"/>
      <c r="AA516" s="3"/>
    </row>
    <row r="517" spans="1:27" ht="14.25" customHeight="1">
      <c r="A517" s="2">
        <v>46178</v>
      </c>
      <c r="B517" s="3" t="s">
        <v>978</v>
      </c>
      <c r="C517" s="3" t="s">
        <v>979</v>
      </c>
      <c r="D517" s="3" t="s">
        <v>978</v>
      </c>
      <c r="E517" s="3" t="s">
        <v>2033</v>
      </c>
      <c r="F517" s="3"/>
      <c r="G517" s="3" t="s">
        <v>1034</v>
      </c>
      <c r="H517" s="3"/>
      <c r="I517" s="3" t="s">
        <v>45</v>
      </c>
      <c r="J517" s="3"/>
      <c r="K517" s="3" t="s">
        <v>28</v>
      </c>
      <c r="L517" s="3" t="s">
        <v>21</v>
      </c>
      <c r="M517" s="3" t="s">
        <v>2034</v>
      </c>
      <c r="N517" s="3" t="s">
        <v>2035</v>
      </c>
      <c r="O517" s="3" t="s">
        <v>2036</v>
      </c>
      <c r="P517" s="3" t="s">
        <v>2037</v>
      </c>
      <c r="Q517" s="3"/>
      <c r="R517" s="3"/>
      <c r="S517" s="3"/>
      <c r="T517" s="3"/>
      <c r="U517" s="3"/>
      <c r="V517" s="3"/>
      <c r="W517" s="3"/>
      <c r="X517" s="3"/>
      <c r="Y517" s="3"/>
      <c r="Z517" s="3"/>
      <c r="AA517" s="3"/>
    </row>
    <row r="518" spans="1:27" ht="14.25" customHeight="1">
      <c r="A518" s="2">
        <v>46178</v>
      </c>
      <c r="B518" s="3" t="s">
        <v>15</v>
      </c>
      <c r="C518" s="3" t="s">
        <v>16</v>
      </c>
      <c r="D518" s="3" t="s">
        <v>105</v>
      </c>
      <c r="E518" s="3" t="s">
        <v>2038</v>
      </c>
      <c r="F518" s="3"/>
      <c r="G518" s="3" t="s">
        <v>107</v>
      </c>
      <c r="H518" s="3"/>
      <c r="I518" s="3" t="s">
        <v>20</v>
      </c>
      <c r="J518" s="3"/>
      <c r="K518" s="3" t="s">
        <v>21</v>
      </c>
      <c r="L518" s="3" t="s">
        <v>21</v>
      </c>
      <c r="M518" s="3" t="s">
        <v>2039</v>
      </c>
      <c r="N518" s="3" t="s">
        <v>2040</v>
      </c>
      <c r="O518" s="3" t="s">
        <v>2041</v>
      </c>
      <c r="P518" s="3" t="s">
        <v>2042</v>
      </c>
      <c r="Q518" s="3"/>
      <c r="R518" s="3"/>
      <c r="S518" s="3"/>
      <c r="T518" s="3"/>
      <c r="U518" s="3"/>
      <c r="V518" s="3"/>
      <c r="W518" s="3"/>
      <c r="X518" s="3"/>
      <c r="Y518" s="3"/>
      <c r="Z518" s="3"/>
      <c r="AA518" s="3"/>
    </row>
    <row r="519" spans="1:27" ht="14.25" customHeight="1">
      <c r="A519" s="2">
        <v>46178</v>
      </c>
      <c r="B519" s="3" t="s">
        <v>15</v>
      </c>
      <c r="C519" s="3" t="s">
        <v>33</v>
      </c>
      <c r="D519" s="3" t="s">
        <v>34</v>
      </c>
      <c r="E519" s="3" t="s">
        <v>2043</v>
      </c>
      <c r="F519" s="3"/>
      <c r="G519" s="3" t="s">
        <v>19</v>
      </c>
      <c r="H519" s="3"/>
      <c r="I519" s="3" t="s">
        <v>45</v>
      </c>
      <c r="J519" s="3"/>
      <c r="K519" s="3" t="s">
        <v>21</v>
      </c>
      <c r="L519" s="3" t="s">
        <v>21</v>
      </c>
      <c r="M519" s="3" t="s">
        <v>2044</v>
      </c>
      <c r="N519" s="3" t="s">
        <v>2045</v>
      </c>
      <c r="O519" s="3" t="s">
        <v>2046</v>
      </c>
      <c r="P519" s="3" t="s">
        <v>48</v>
      </c>
      <c r="Q519" s="3"/>
      <c r="R519" s="3"/>
      <c r="S519" s="3"/>
      <c r="T519" s="3"/>
      <c r="U519" s="3"/>
      <c r="V519" s="3"/>
      <c r="W519" s="3"/>
      <c r="X519" s="3"/>
      <c r="Y519" s="3"/>
      <c r="Z519" s="3"/>
      <c r="AA519" s="3"/>
    </row>
    <row r="520" spans="1:27" ht="14.25" customHeight="1">
      <c r="A520" s="2">
        <v>46178</v>
      </c>
      <c r="B520" s="3" t="s">
        <v>978</v>
      </c>
      <c r="C520" s="3" t="s">
        <v>979</v>
      </c>
      <c r="D520" s="3" t="s">
        <v>978</v>
      </c>
      <c r="E520" s="3" t="s">
        <v>2047</v>
      </c>
      <c r="F520" s="3"/>
      <c r="G520" s="3" t="s">
        <v>1034</v>
      </c>
      <c r="H520" s="3"/>
      <c r="I520" s="3" t="s">
        <v>45</v>
      </c>
      <c r="J520" s="3" t="s">
        <v>28</v>
      </c>
      <c r="K520" s="3" t="s">
        <v>28</v>
      </c>
      <c r="L520" s="3" t="s">
        <v>28</v>
      </c>
      <c r="M520" s="3" t="s">
        <v>2048</v>
      </c>
      <c r="N520" s="3" t="s">
        <v>2049</v>
      </c>
      <c r="O520" s="3" t="s">
        <v>2050</v>
      </c>
      <c r="P520" s="3" t="s">
        <v>92</v>
      </c>
      <c r="Q520" s="3"/>
      <c r="R520" s="3"/>
      <c r="S520" s="3"/>
      <c r="T520" s="3"/>
      <c r="U520" s="3"/>
      <c r="V520" s="3"/>
      <c r="W520" s="3"/>
      <c r="X520" s="3"/>
      <c r="Y520" s="3"/>
      <c r="Z520" s="3"/>
      <c r="AA520" s="3"/>
    </row>
    <row r="521" spans="1:27" ht="14.25" customHeight="1">
      <c r="A521" s="2">
        <v>46178</v>
      </c>
      <c r="B521" s="3" t="s">
        <v>72</v>
      </c>
      <c r="C521" s="3" t="s">
        <v>73</v>
      </c>
      <c r="D521" s="3" t="s">
        <v>72</v>
      </c>
      <c r="E521" s="3" t="s">
        <v>2051</v>
      </c>
      <c r="F521" s="3"/>
      <c r="G521" s="3" t="s">
        <v>19</v>
      </c>
      <c r="H521" s="3"/>
      <c r="I521" s="3" t="s">
        <v>45</v>
      </c>
      <c r="J521" s="3"/>
      <c r="K521" s="3" t="s">
        <v>21</v>
      </c>
      <c r="L521" s="3" t="s">
        <v>21</v>
      </c>
      <c r="M521" s="3" t="s">
        <v>2052</v>
      </c>
      <c r="N521" s="3" t="s">
        <v>2053</v>
      </c>
      <c r="O521" s="3" t="s">
        <v>2054</v>
      </c>
      <c r="P521" s="3"/>
      <c r="Q521" s="3"/>
      <c r="R521" s="3"/>
      <c r="S521" s="3"/>
      <c r="T521" s="3"/>
      <c r="U521" s="3"/>
      <c r="V521" s="3"/>
      <c r="W521" s="3"/>
      <c r="X521" s="3"/>
      <c r="Y521" s="3"/>
      <c r="Z521" s="3"/>
      <c r="AA521" s="3"/>
    </row>
    <row r="522" spans="1:27" ht="14.25" customHeight="1">
      <c r="A522" s="2">
        <v>46178</v>
      </c>
      <c r="B522" s="3" t="s">
        <v>978</v>
      </c>
      <c r="C522" s="3" t="s">
        <v>979</v>
      </c>
      <c r="D522" s="3" t="s">
        <v>978</v>
      </c>
      <c r="E522" s="3" t="s">
        <v>2023</v>
      </c>
      <c r="F522" s="3"/>
      <c r="G522" s="3" t="s">
        <v>1034</v>
      </c>
      <c r="H522" s="3"/>
      <c r="I522" s="3" t="s">
        <v>45</v>
      </c>
      <c r="J522" s="3"/>
      <c r="K522" s="3" t="s">
        <v>21</v>
      </c>
      <c r="L522" s="3" t="s">
        <v>21</v>
      </c>
      <c r="M522" s="3" t="s">
        <v>69</v>
      </c>
      <c r="N522" s="3" t="s">
        <v>2055</v>
      </c>
      <c r="O522" s="3" t="s">
        <v>2056</v>
      </c>
      <c r="P522" s="3" t="s">
        <v>2057</v>
      </c>
      <c r="Q522" s="3"/>
      <c r="R522" s="3"/>
      <c r="S522" s="3"/>
      <c r="T522" s="3"/>
      <c r="U522" s="3"/>
      <c r="V522" s="3"/>
      <c r="W522" s="3"/>
      <c r="X522" s="3"/>
      <c r="Y522" s="3"/>
      <c r="Z522" s="3"/>
      <c r="AA522" s="3"/>
    </row>
    <row r="523" spans="1:27" ht="14.25" customHeight="1">
      <c r="A523" s="2">
        <v>46178</v>
      </c>
      <c r="B523" s="3" t="s">
        <v>15</v>
      </c>
      <c r="C523" s="3" t="s">
        <v>33</v>
      </c>
      <c r="D523" s="3" t="s">
        <v>34</v>
      </c>
      <c r="E523" s="3" t="s">
        <v>2058</v>
      </c>
      <c r="F523" s="3"/>
      <c r="G523" s="3" t="s">
        <v>19</v>
      </c>
      <c r="H523" s="3"/>
      <c r="I523" s="3" t="s">
        <v>20</v>
      </c>
      <c r="J523" s="3"/>
      <c r="K523" s="3" t="s">
        <v>21</v>
      </c>
      <c r="L523" s="3" t="s">
        <v>21</v>
      </c>
      <c r="M523" s="3" t="s">
        <v>2059</v>
      </c>
      <c r="N523" s="3" t="s">
        <v>2060</v>
      </c>
      <c r="O523" s="3" t="s">
        <v>2061</v>
      </c>
      <c r="P523" s="3" t="s">
        <v>48</v>
      </c>
      <c r="Q523" s="3"/>
      <c r="R523" s="3"/>
      <c r="S523" s="3"/>
      <c r="T523" s="3"/>
      <c r="U523" s="3"/>
      <c r="V523" s="3"/>
      <c r="W523" s="3"/>
      <c r="X523" s="3"/>
      <c r="Y523" s="3"/>
      <c r="Z523" s="3"/>
      <c r="AA523" s="3"/>
    </row>
    <row r="524" spans="1:27" ht="14.25" customHeight="1">
      <c r="A524" s="2">
        <v>46178</v>
      </c>
      <c r="B524" s="3" t="s">
        <v>978</v>
      </c>
      <c r="C524" s="3" t="s">
        <v>979</v>
      </c>
      <c r="D524" s="3" t="s">
        <v>978</v>
      </c>
      <c r="E524" s="3" t="s">
        <v>2047</v>
      </c>
      <c r="F524" s="3"/>
      <c r="G524" s="3" t="s">
        <v>1034</v>
      </c>
      <c r="H524" s="3"/>
      <c r="I524" s="3" t="s">
        <v>20</v>
      </c>
      <c r="J524" s="3"/>
      <c r="K524" s="3" t="s">
        <v>21</v>
      </c>
      <c r="L524" s="3" t="s">
        <v>21</v>
      </c>
      <c r="M524" s="3" t="s">
        <v>2062</v>
      </c>
      <c r="N524" s="3" t="s">
        <v>2063</v>
      </c>
      <c r="O524" s="3" t="s">
        <v>2064</v>
      </c>
      <c r="P524" s="3" t="s">
        <v>2065</v>
      </c>
      <c r="Q524" s="3"/>
      <c r="R524" s="3"/>
      <c r="S524" s="3"/>
      <c r="T524" s="3"/>
      <c r="U524" s="3"/>
      <c r="V524" s="3"/>
      <c r="W524" s="3"/>
      <c r="X524" s="3"/>
      <c r="Y524" s="3"/>
      <c r="Z524" s="3"/>
      <c r="AA524" s="3"/>
    </row>
    <row r="525" spans="1:27" ht="14.25" customHeight="1">
      <c r="A525" s="2">
        <v>46178</v>
      </c>
      <c r="B525" s="3" t="s">
        <v>15</v>
      </c>
      <c r="C525" s="3" t="s">
        <v>33</v>
      </c>
      <c r="D525" s="3" t="s">
        <v>34</v>
      </c>
      <c r="E525" s="3" t="s">
        <v>2066</v>
      </c>
      <c r="F525" s="3"/>
      <c r="G525" s="3" t="s">
        <v>19</v>
      </c>
      <c r="H525" s="3"/>
      <c r="I525" s="3" t="s">
        <v>20</v>
      </c>
      <c r="J525" s="3"/>
      <c r="K525" s="3" t="s">
        <v>21</v>
      </c>
      <c r="L525" s="3" t="s">
        <v>21</v>
      </c>
      <c r="M525" s="3" t="s">
        <v>769</v>
      </c>
      <c r="N525" s="3" t="s">
        <v>2067</v>
      </c>
      <c r="O525" s="3" t="s">
        <v>2068</v>
      </c>
      <c r="P525" s="3"/>
      <c r="Q525" s="3"/>
      <c r="R525" s="3"/>
      <c r="S525" s="3"/>
      <c r="T525" s="3"/>
      <c r="U525" s="3"/>
      <c r="V525" s="3"/>
      <c r="W525" s="3"/>
      <c r="X525" s="3"/>
      <c r="Y525" s="3"/>
      <c r="Z525" s="3"/>
      <c r="AA525" s="3"/>
    </row>
    <row r="526" spans="1:27" ht="14.25" customHeight="1">
      <c r="A526" s="2">
        <v>46178</v>
      </c>
      <c r="B526" s="3" t="s">
        <v>49</v>
      </c>
      <c r="C526" s="3" t="s">
        <v>50</v>
      </c>
      <c r="D526" s="3" t="s">
        <v>51</v>
      </c>
      <c r="E526" s="3" t="s">
        <v>2069</v>
      </c>
      <c r="F526" s="3"/>
      <c r="G526" s="3" t="s">
        <v>19</v>
      </c>
      <c r="H526" s="3"/>
      <c r="I526" s="3" t="s">
        <v>20</v>
      </c>
      <c r="J526" s="3"/>
      <c r="K526" s="3" t="s">
        <v>21</v>
      </c>
      <c r="L526" s="3" t="s">
        <v>21</v>
      </c>
      <c r="M526" s="3" t="s">
        <v>2070</v>
      </c>
      <c r="N526" s="3" t="s">
        <v>2071</v>
      </c>
      <c r="O526" s="3" t="s">
        <v>2072</v>
      </c>
      <c r="P526" s="3"/>
      <c r="Q526" s="3"/>
      <c r="R526" s="3"/>
      <c r="S526" s="3"/>
      <c r="T526" s="3"/>
      <c r="U526" s="3"/>
      <c r="V526" s="3"/>
      <c r="W526" s="3"/>
      <c r="X526" s="3"/>
      <c r="Y526" s="3"/>
      <c r="Z526" s="3"/>
      <c r="AA526" s="3"/>
    </row>
    <row r="527" spans="1:27" ht="14.25" customHeight="1">
      <c r="A527" s="2">
        <v>46178</v>
      </c>
      <c r="B527" s="3" t="s">
        <v>15</v>
      </c>
      <c r="C527" s="3" t="s">
        <v>33</v>
      </c>
      <c r="D527" s="3" t="s">
        <v>34</v>
      </c>
      <c r="E527" s="3" t="s">
        <v>2073</v>
      </c>
      <c r="F527" s="3"/>
      <c r="G527" s="3" t="s">
        <v>19</v>
      </c>
      <c r="H527" s="3"/>
      <c r="I527" s="3" t="s">
        <v>20</v>
      </c>
      <c r="J527" s="3"/>
      <c r="K527" s="3" t="s">
        <v>21</v>
      </c>
      <c r="L527" s="3" t="s">
        <v>21</v>
      </c>
      <c r="M527" s="3" t="s">
        <v>2074</v>
      </c>
      <c r="N527" s="3" t="s">
        <v>2075</v>
      </c>
      <c r="O527" s="3" t="s">
        <v>2076</v>
      </c>
      <c r="P527" s="3" t="s">
        <v>48</v>
      </c>
      <c r="Q527" s="3"/>
      <c r="R527" s="3"/>
      <c r="S527" s="3"/>
      <c r="T527" s="3"/>
      <c r="U527" s="3"/>
      <c r="V527" s="3"/>
      <c r="W527" s="3"/>
      <c r="X527" s="3"/>
      <c r="Y527" s="3"/>
      <c r="Z527" s="3"/>
      <c r="AA527" s="3"/>
    </row>
    <row r="528" spans="1:27" ht="14.25" customHeight="1">
      <c r="A528" s="2">
        <v>46178</v>
      </c>
      <c r="B528" s="3" t="s">
        <v>72</v>
      </c>
      <c r="C528" s="3" t="s">
        <v>73</v>
      </c>
      <c r="D528" s="3" t="s">
        <v>72</v>
      </c>
      <c r="E528" s="3" t="s">
        <v>2077</v>
      </c>
      <c r="F528" s="3"/>
      <c r="G528" s="3" t="s">
        <v>19</v>
      </c>
      <c r="H528" s="3"/>
      <c r="I528" s="3" t="s">
        <v>45</v>
      </c>
      <c r="J528" s="3"/>
      <c r="K528" s="3" t="s">
        <v>28</v>
      </c>
      <c r="L528" s="3" t="s">
        <v>28</v>
      </c>
      <c r="M528" s="3" t="s">
        <v>2078</v>
      </c>
      <c r="N528" s="3" t="s">
        <v>2079</v>
      </c>
      <c r="O528" s="3" t="s">
        <v>2080</v>
      </c>
      <c r="P528" s="3" t="s">
        <v>30</v>
      </c>
      <c r="Q528" s="3"/>
      <c r="R528" s="3"/>
      <c r="S528" s="3"/>
      <c r="T528" s="3"/>
      <c r="U528" s="3"/>
      <c r="V528" s="3"/>
      <c r="W528" s="3"/>
      <c r="X528" s="3"/>
      <c r="Y528" s="3"/>
      <c r="Z528" s="3"/>
      <c r="AA528" s="3"/>
    </row>
    <row r="529" spans="1:27" ht="14.25" customHeight="1">
      <c r="A529" s="2">
        <v>46178</v>
      </c>
      <c r="B529" s="3" t="s">
        <v>978</v>
      </c>
      <c r="C529" s="3" t="s">
        <v>979</v>
      </c>
      <c r="D529" s="3" t="s">
        <v>978</v>
      </c>
      <c r="E529" s="3" t="s">
        <v>2047</v>
      </c>
      <c r="F529" s="3"/>
      <c r="G529" s="3" t="s">
        <v>1034</v>
      </c>
      <c r="H529" s="3"/>
      <c r="I529" s="3" t="s">
        <v>45</v>
      </c>
      <c r="J529" s="3"/>
      <c r="K529" s="3" t="s">
        <v>21</v>
      </c>
      <c r="L529" s="3" t="s">
        <v>21</v>
      </c>
      <c r="M529" s="3" t="s">
        <v>2081</v>
      </c>
      <c r="N529" s="3" t="s">
        <v>2082</v>
      </c>
      <c r="O529" s="3" t="s">
        <v>2083</v>
      </c>
      <c r="P529" s="3" t="s">
        <v>30</v>
      </c>
      <c r="Q529" s="3"/>
      <c r="R529" s="3"/>
      <c r="S529" s="3"/>
      <c r="T529" s="3"/>
      <c r="U529" s="3"/>
      <c r="V529" s="3"/>
      <c r="W529" s="3"/>
      <c r="X529" s="3"/>
      <c r="Y529" s="3"/>
      <c r="Z529" s="3"/>
      <c r="AA529" s="3"/>
    </row>
    <row r="530" spans="1:27" ht="14.25" customHeight="1">
      <c r="A530" s="2">
        <v>46178</v>
      </c>
      <c r="B530" s="3" t="s">
        <v>72</v>
      </c>
      <c r="C530" s="3" t="s">
        <v>73</v>
      </c>
      <c r="D530" s="3" t="s">
        <v>72</v>
      </c>
      <c r="E530" s="3" t="s">
        <v>2077</v>
      </c>
      <c r="F530" s="3"/>
      <c r="G530" s="3" t="s">
        <v>19</v>
      </c>
      <c r="H530" s="3"/>
      <c r="I530" s="3" t="s">
        <v>45</v>
      </c>
      <c r="J530" s="3"/>
      <c r="K530" s="3" t="s">
        <v>28</v>
      </c>
      <c r="L530" s="3" t="s">
        <v>28</v>
      </c>
      <c r="M530" s="3" t="s">
        <v>2078</v>
      </c>
      <c r="N530" s="3" t="s">
        <v>2084</v>
      </c>
      <c r="O530" s="3" t="s">
        <v>2085</v>
      </c>
      <c r="P530" s="3" t="s">
        <v>30</v>
      </c>
      <c r="Q530" s="3"/>
      <c r="R530" s="3"/>
      <c r="S530" s="3"/>
      <c r="T530" s="3"/>
      <c r="U530" s="3"/>
      <c r="V530" s="3"/>
      <c r="W530" s="3"/>
      <c r="X530" s="3"/>
      <c r="Y530" s="3"/>
      <c r="Z530" s="3"/>
      <c r="AA530" s="3"/>
    </row>
    <row r="531" spans="1:27" ht="14.25" customHeight="1">
      <c r="A531" s="2">
        <v>46178</v>
      </c>
      <c r="B531" s="3" t="s">
        <v>978</v>
      </c>
      <c r="C531" s="3" t="s">
        <v>979</v>
      </c>
      <c r="D531" s="3" t="s">
        <v>978</v>
      </c>
      <c r="E531" s="3" t="s">
        <v>2023</v>
      </c>
      <c r="F531" s="3"/>
      <c r="G531" s="3" t="s">
        <v>1034</v>
      </c>
      <c r="H531" s="3"/>
      <c r="I531" s="3" t="s">
        <v>20</v>
      </c>
      <c r="J531" s="3"/>
      <c r="K531" s="3" t="s">
        <v>28</v>
      </c>
      <c r="L531" s="3" t="s">
        <v>21</v>
      </c>
      <c r="M531" s="3" t="s">
        <v>2086</v>
      </c>
      <c r="N531" s="3" t="s">
        <v>2025</v>
      </c>
      <c r="O531" s="3" t="s">
        <v>2087</v>
      </c>
      <c r="P531" s="3" t="s">
        <v>2088</v>
      </c>
      <c r="Q531" s="3"/>
      <c r="R531" s="3"/>
      <c r="S531" s="3"/>
      <c r="T531" s="3"/>
      <c r="U531" s="3"/>
      <c r="V531" s="3"/>
      <c r="W531" s="3"/>
      <c r="X531" s="3"/>
      <c r="Y531" s="3"/>
      <c r="Z531" s="3"/>
      <c r="AA531" s="3"/>
    </row>
    <row r="532" spans="1:27" ht="14.25" customHeight="1">
      <c r="A532" s="2">
        <v>46178</v>
      </c>
      <c r="B532" s="3" t="s">
        <v>1030</v>
      </c>
      <c r="C532" s="3" t="s">
        <v>1031</v>
      </c>
      <c r="D532" s="3" t="s">
        <v>1032</v>
      </c>
      <c r="E532" s="3" t="s">
        <v>2089</v>
      </c>
      <c r="F532" s="3"/>
      <c r="G532" s="3" t="s">
        <v>1034</v>
      </c>
      <c r="H532" s="3"/>
      <c r="I532" s="3" t="s">
        <v>20</v>
      </c>
      <c r="J532" s="3"/>
      <c r="K532" s="3" t="s">
        <v>21</v>
      </c>
      <c r="L532" s="3" t="s">
        <v>21</v>
      </c>
      <c r="M532" s="3" t="s">
        <v>2090</v>
      </c>
      <c r="N532" s="3" t="s">
        <v>2091</v>
      </c>
      <c r="O532" s="3" t="s">
        <v>2092</v>
      </c>
      <c r="P532" s="3" t="s">
        <v>30</v>
      </c>
      <c r="Q532" s="3"/>
      <c r="R532" s="3"/>
      <c r="S532" s="3"/>
      <c r="T532" s="3"/>
      <c r="U532" s="3"/>
      <c r="V532" s="3"/>
      <c r="W532" s="3"/>
      <c r="X532" s="3"/>
      <c r="Y532" s="3"/>
      <c r="Z532" s="3"/>
      <c r="AA532" s="3"/>
    </row>
    <row r="533" spans="1:27" ht="14.25" customHeight="1">
      <c r="A533" s="2">
        <v>46178</v>
      </c>
      <c r="B533" s="3" t="s">
        <v>978</v>
      </c>
      <c r="C533" s="3" t="s">
        <v>979</v>
      </c>
      <c r="D533" s="3" t="s">
        <v>978</v>
      </c>
      <c r="E533" s="3" t="s">
        <v>2033</v>
      </c>
      <c r="F533" s="3"/>
      <c r="G533" s="3" t="s">
        <v>1034</v>
      </c>
      <c r="H533" s="3"/>
      <c r="I533" s="3" t="s">
        <v>20</v>
      </c>
      <c r="J533" s="3"/>
      <c r="K533" s="3" t="s">
        <v>21</v>
      </c>
      <c r="L533" s="3" t="s">
        <v>21</v>
      </c>
      <c r="M533" s="3" t="s">
        <v>2093</v>
      </c>
      <c r="N533" s="3" t="s">
        <v>2094</v>
      </c>
      <c r="O533" s="3" t="s">
        <v>2095</v>
      </c>
      <c r="P533" s="3" t="s">
        <v>2096</v>
      </c>
      <c r="Q533" s="3"/>
      <c r="R533" s="3"/>
      <c r="S533" s="3"/>
      <c r="T533" s="3"/>
      <c r="U533" s="3"/>
      <c r="V533" s="3"/>
      <c r="W533" s="3"/>
      <c r="X533" s="3"/>
      <c r="Y533" s="3"/>
      <c r="Z533" s="3"/>
      <c r="AA533" s="3"/>
    </row>
    <row r="534" spans="1:27" ht="14.25" customHeight="1">
      <c r="A534" s="2">
        <v>46178</v>
      </c>
      <c r="B534" s="3" t="s">
        <v>72</v>
      </c>
      <c r="C534" s="3" t="s">
        <v>73</v>
      </c>
      <c r="D534" s="3" t="s">
        <v>72</v>
      </c>
      <c r="E534" s="3" t="s">
        <v>2097</v>
      </c>
      <c r="F534" s="3"/>
      <c r="G534" s="3" t="s">
        <v>19</v>
      </c>
      <c r="H534" s="3"/>
      <c r="I534" s="3" t="s">
        <v>45</v>
      </c>
      <c r="J534" s="3"/>
      <c r="K534" s="3" t="s">
        <v>28</v>
      </c>
      <c r="L534" s="3" t="s">
        <v>28</v>
      </c>
      <c r="M534" s="3" t="s">
        <v>2098</v>
      </c>
      <c r="N534" s="3" t="s">
        <v>48</v>
      </c>
      <c r="O534" s="3" t="s">
        <v>48</v>
      </c>
      <c r="P534" s="3" t="s">
        <v>48</v>
      </c>
      <c r="Q534" s="3"/>
      <c r="R534" s="3"/>
      <c r="S534" s="3"/>
      <c r="T534" s="3"/>
      <c r="U534" s="3"/>
      <c r="V534" s="3"/>
      <c r="W534" s="3"/>
      <c r="X534" s="3"/>
      <c r="Y534" s="3"/>
      <c r="Z534" s="3"/>
      <c r="AA534" s="3"/>
    </row>
    <row r="535" spans="1:27" ht="14.25" customHeight="1">
      <c r="A535" s="2">
        <v>46178</v>
      </c>
      <c r="B535" s="3" t="s">
        <v>978</v>
      </c>
      <c r="C535" s="3" t="s">
        <v>979</v>
      </c>
      <c r="D535" s="3" t="s">
        <v>978</v>
      </c>
      <c r="E535" s="3" t="s">
        <v>2099</v>
      </c>
      <c r="F535" s="3"/>
      <c r="G535" s="3" t="s">
        <v>981</v>
      </c>
      <c r="H535" s="3"/>
      <c r="I535" s="3" t="s">
        <v>45</v>
      </c>
      <c r="J535" s="3"/>
      <c r="K535" s="3" t="s">
        <v>21</v>
      </c>
      <c r="L535" s="3" t="s">
        <v>21</v>
      </c>
      <c r="M535" s="3" t="s">
        <v>2100</v>
      </c>
      <c r="N535" s="3" t="s">
        <v>2101</v>
      </c>
      <c r="O535" s="3" t="s">
        <v>2102</v>
      </c>
      <c r="P535" s="3" t="s">
        <v>2103</v>
      </c>
      <c r="Q535" s="3"/>
      <c r="R535" s="3"/>
      <c r="S535" s="3"/>
      <c r="T535" s="3"/>
      <c r="U535" s="3"/>
      <c r="V535" s="3"/>
      <c r="W535" s="3"/>
      <c r="X535" s="3"/>
      <c r="Y535" s="3"/>
      <c r="Z535" s="3"/>
      <c r="AA535" s="3"/>
    </row>
    <row r="536" spans="1:27" ht="14.25" customHeight="1">
      <c r="A536" s="2">
        <v>46178</v>
      </c>
      <c r="B536" s="3" t="s">
        <v>978</v>
      </c>
      <c r="C536" s="3" t="s">
        <v>979</v>
      </c>
      <c r="D536" s="3" t="s">
        <v>978</v>
      </c>
      <c r="E536" s="3" t="s">
        <v>2104</v>
      </c>
      <c r="F536" s="3"/>
      <c r="G536" s="3" t="s">
        <v>981</v>
      </c>
      <c r="H536" s="3"/>
      <c r="I536" s="3" t="s">
        <v>20</v>
      </c>
      <c r="J536" s="3" t="s">
        <v>28</v>
      </c>
      <c r="K536" s="3" t="s">
        <v>28</v>
      </c>
      <c r="L536" s="3" t="s">
        <v>28</v>
      </c>
      <c r="M536" s="3" t="s">
        <v>2105</v>
      </c>
      <c r="N536" s="3" t="s">
        <v>2106</v>
      </c>
      <c r="O536" s="3" t="s">
        <v>2107</v>
      </c>
      <c r="P536" s="3" t="s">
        <v>2108</v>
      </c>
      <c r="Q536" s="3"/>
      <c r="R536" s="3"/>
      <c r="S536" s="3"/>
      <c r="T536" s="3"/>
      <c r="U536" s="3"/>
      <c r="V536" s="3"/>
      <c r="W536" s="3"/>
      <c r="X536" s="3"/>
      <c r="Y536" s="3"/>
      <c r="Z536" s="3"/>
      <c r="AA536" s="3"/>
    </row>
    <row r="537" spans="1:27" ht="14.25" customHeight="1">
      <c r="A537" s="2">
        <v>46178</v>
      </c>
      <c r="B537" s="3" t="s">
        <v>15</v>
      </c>
      <c r="C537" s="3" t="s">
        <v>16</v>
      </c>
      <c r="D537" s="3" t="s">
        <v>105</v>
      </c>
      <c r="E537" s="3" t="s">
        <v>2109</v>
      </c>
      <c r="F537" s="3"/>
      <c r="G537" s="3" t="s">
        <v>19</v>
      </c>
      <c r="H537" s="3"/>
      <c r="I537" s="3" t="s">
        <v>20</v>
      </c>
      <c r="J537" s="3"/>
      <c r="K537" s="3" t="s">
        <v>21</v>
      </c>
      <c r="L537" s="3" t="s">
        <v>21</v>
      </c>
      <c r="M537" s="3" t="s">
        <v>2110</v>
      </c>
      <c r="N537" s="3" t="s">
        <v>30</v>
      </c>
      <c r="O537" s="3" t="s">
        <v>30</v>
      </c>
      <c r="P537" s="3" t="s">
        <v>100</v>
      </c>
      <c r="Q537" s="3"/>
      <c r="R537" s="3"/>
      <c r="S537" s="3"/>
      <c r="T537" s="3"/>
      <c r="U537" s="3"/>
      <c r="V537" s="3"/>
      <c r="W537" s="3"/>
      <c r="X537" s="3"/>
      <c r="Y537" s="3"/>
      <c r="Z537" s="3"/>
      <c r="AA537" s="3"/>
    </row>
    <row r="538" spans="1:27" ht="14.25" customHeight="1">
      <c r="A538" s="2">
        <v>46178</v>
      </c>
      <c r="B538" s="3" t="s">
        <v>15</v>
      </c>
      <c r="C538" s="3" t="s">
        <v>33</v>
      </c>
      <c r="D538" s="3" t="s">
        <v>34</v>
      </c>
      <c r="E538" s="3" t="s">
        <v>2073</v>
      </c>
      <c r="F538" s="3"/>
      <c r="G538" s="3" t="s">
        <v>19</v>
      </c>
      <c r="H538" s="3"/>
      <c r="I538" s="3" t="s">
        <v>20</v>
      </c>
      <c r="J538" s="3"/>
      <c r="K538" s="3" t="s">
        <v>21</v>
      </c>
      <c r="L538" s="3" t="s">
        <v>21</v>
      </c>
      <c r="M538" s="3" t="s">
        <v>2111</v>
      </c>
      <c r="N538" s="3" t="s">
        <v>2112</v>
      </c>
      <c r="O538" s="3" t="s">
        <v>2113</v>
      </c>
      <c r="P538" s="3" t="s">
        <v>48</v>
      </c>
      <c r="Q538" s="3"/>
      <c r="R538" s="3"/>
      <c r="S538" s="3"/>
      <c r="T538" s="3"/>
      <c r="U538" s="3"/>
      <c r="V538" s="3"/>
      <c r="W538" s="3"/>
      <c r="X538" s="3"/>
      <c r="Y538" s="3"/>
      <c r="Z538" s="3"/>
      <c r="AA538" s="3"/>
    </row>
    <row r="539" spans="1:27" ht="14.25" customHeight="1">
      <c r="A539" s="2">
        <v>46178</v>
      </c>
      <c r="B539" s="3" t="s">
        <v>15</v>
      </c>
      <c r="C539" s="3" t="s">
        <v>16</v>
      </c>
      <c r="D539" s="3" t="s">
        <v>177</v>
      </c>
      <c r="E539" s="3" t="s">
        <v>2114</v>
      </c>
      <c r="F539" s="3"/>
      <c r="G539" s="3" t="s">
        <v>107</v>
      </c>
      <c r="H539" s="3"/>
      <c r="I539" s="3" t="s">
        <v>20</v>
      </c>
      <c r="J539" s="3"/>
      <c r="K539" s="3" t="s">
        <v>21</v>
      </c>
      <c r="L539" s="3" t="s">
        <v>21</v>
      </c>
      <c r="M539" s="3" t="s">
        <v>2115</v>
      </c>
      <c r="N539" s="3" t="s">
        <v>2116</v>
      </c>
      <c r="O539" s="3" t="s">
        <v>2117</v>
      </c>
      <c r="P539" s="3" t="s">
        <v>444</v>
      </c>
      <c r="Q539" s="3"/>
      <c r="R539" s="3"/>
      <c r="S539" s="3"/>
      <c r="T539" s="3"/>
      <c r="U539" s="3"/>
      <c r="V539" s="3"/>
      <c r="W539" s="3"/>
      <c r="X539" s="3"/>
      <c r="Y539" s="3"/>
      <c r="Z539" s="3"/>
      <c r="AA539" s="3"/>
    </row>
    <row r="540" spans="1:27" ht="14.25" customHeight="1">
      <c r="A540" s="2">
        <v>46178</v>
      </c>
      <c r="B540" s="3" t="s">
        <v>978</v>
      </c>
      <c r="C540" s="3" t="s">
        <v>979</v>
      </c>
      <c r="D540" s="3" t="s">
        <v>978</v>
      </c>
      <c r="E540" s="3" t="s">
        <v>2118</v>
      </c>
      <c r="F540" s="3"/>
      <c r="G540" s="3" t="s">
        <v>981</v>
      </c>
      <c r="H540" s="3"/>
      <c r="I540" s="3" t="s">
        <v>45</v>
      </c>
      <c r="J540" s="3"/>
      <c r="K540" s="3" t="s">
        <v>21</v>
      </c>
      <c r="L540" s="3" t="s">
        <v>21</v>
      </c>
      <c r="M540" s="3" t="s">
        <v>2119</v>
      </c>
      <c r="N540" s="3" t="s">
        <v>2120</v>
      </c>
      <c r="O540" s="3" t="s">
        <v>2121</v>
      </c>
      <c r="P540" s="3" t="s">
        <v>2122</v>
      </c>
      <c r="Q540" s="3"/>
      <c r="R540" s="3"/>
      <c r="S540" s="3"/>
      <c r="T540" s="3"/>
      <c r="U540" s="3"/>
      <c r="V540" s="3"/>
      <c r="W540" s="3"/>
      <c r="X540" s="3"/>
      <c r="Y540" s="3"/>
      <c r="Z540" s="3"/>
      <c r="AA540" s="3"/>
    </row>
    <row r="541" spans="1:27" ht="14.25" customHeight="1">
      <c r="A541" s="2">
        <v>46178</v>
      </c>
      <c r="B541" s="3" t="s">
        <v>15</v>
      </c>
      <c r="C541" s="3" t="s">
        <v>16</v>
      </c>
      <c r="D541" s="3" t="s">
        <v>177</v>
      </c>
      <c r="E541" s="3" t="s">
        <v>2123</v>
      </c>
      <c r="F541" s="3"/>
      <c r="G541" s="3" t="s">
        <v>19</v>
      </c>
      <c r="H541" s="3"/>
      <c r="I541" s="3" t="s">
        <v>20</v>
      </c>
      <c r="J541" s="3"/>
      <c r="K541" s="3" t="s">
        <v>28</v>
      </c>
      <c r="L541" s="3" t="s">
        <v>28</v>
      </c>
      <c r="M541" s="3" t="s">
        <v>175</v>
      </c>
      <c r="N541" s="3" t="s">
        <v>48</v>
      </c>
      <c r="O541" s="3" t="s">
        <v>48</v>
      </c>
      <c r="P541" s="3" t="s">
        <v>48</v>
      </c>
      <c r="Q541" s="3"/>
      <c r="R541" s="3"/>
      <c r="S541" s="3"/>
      <c r="T541" s="3"/>
      <c r="U541" s="3"/>
      <c r="V541" s="3"/>
      <c r="W541" s="3"/>
      <c r="X541" s="3"/>
      <c r="Y541" s="3"/>
      <c r="Z541" s="3"/>
      <c r="AA541" s="3"/>
    </row>
    <row r="542" spans="1:27" ht="14.25" customHeight="1">
      <c r="A542" s="2">
        <v>46178</v>
      </c>
      <c r="B542" s="3" t="s">
        <v>978</v>
      </c>
      <c r="C542" s="3" t="s">
        <v>979</v>
      </c>
      <c r="D542" s="3" t="s">
        <v>978</v>
      </c>
      <c r="E542" s="3" t="s">
        <v>2124</v>
      </c>
      <c r="F542" s="3"/>
      <c r="G542" s="3" t="s">
        <v>1034</v>
      </c>
      <c r="H542" s="3"/>
      <c r="I542" s="3" t="s">
        <v>20</v>
      </c>
      <c r="J542" s="3"/>
      <c r="K542" s="3" t="s">
        <v>28</v>
      </c>
      <c r="L542" s="3" t="s">
        <v>21</v>
      </c>
      <c r="M542" s="3" t="s">
        <v>2125</v>
      </c>
      <c r="N542" s="3" t="s">
        <v>2126</v>
      </c>
      <c r="O542" s="3" t="s">
        <v>2127</v>
      </c>
      <c r="P542" s="3"/>
      <c r="Q542" s="3"/>
      <c r="R542" s="3"/>
      <c r="S542" s="3"/>
      <c r="T542" s="3"/>
      <c r="U542" s="3"/>
      <c r="V542" s="3"/>
      <c r="W542" s="3"/>
      <c r="X542" s="3"/>
      <c r="Y542" s="3"/>
      <c r="Z542" s="3"/>
      <c r="AA542" s="3"/>
    </row>
    <row r="543" spans="1:27" ht="14.25" customHeight="1">
      <c r="A543" s="2">
        <v>46178</v>
      </c>
      <c r="B543" s="3" t="s">
        <v>81</v>
      </c>
      <c r="C543" s="3" t="s">
        <v>50</v>
      </c>
      <c r="D543" s="3" t="s">
        <v>919</v>
      </c>
      <c r="E543" s="3" t="s">
        <v>2128</v>
      </c>
      <c r="F543" s="3"/>
      <c r="G543" s="3" t="s">
        <v>19</v>
      </c>
      <c r="H543" s="3"/>
      <c r="I543" s="3" t="s">
        <v>20</v>
      </c>
      <c r="J543" s="3"/>
      <c r="K543" s="3" t="s">
        <v>28</v>
      </c>
      <c r="L543" s="3" t="s">
        <v>28</v>
      </c>
      <c r="M543" s="3" t="s">
        <v>2129</v>
      </c>
      <c r="N543" s="3" t="s">
        <v>2130</v>
      </c>
      <c r="O543" s="3" t="s">
        <v>2131</v>
      </c>
      <c r="P543" s="3"/>
      <c r="Q543" s="3"/>
      <c r="R543" s="3"/>
      <c r="S543" s="3"/>
      <c r="T543" s="3"/>
      <c r="U543" s="3"/>
      <c r="V543" s="3"/>
      <c r="W543" s="3"/>
      <c r="X543" s="3"/>
      <c r="Y543" s="3"/>
      <c r="Z543" s="3"/>
      <c r="AA543" s="3"/>
    </row>
    <row r="544" spans="1:27" ht="14.25" customHeight="1">
      <c r="A544" s="2">
        <v>46178</v>
      </c>
      <c r="B544" s="3" t="s">
        <v>1030</v>
      </c>
      <c r="C544" s="3" t="s">
        <v>1031</v>
      </c>
      <c r="D544" s="3" t="s">
        <v>1061</v>
      </c>
      <c r="E544" s="3" t="s">
        <v>2132</v>
      </c>
      <c r="F544" s="3"/>
      <c r="G544" s="3" t="s">
        <v>1034</v>
      </c>
      <c r="H544" s="3"/>
      <c r="I544" s="3" t="s">
        <v>20</v>
      </c>
      <c r="J544" s="3"/>
      <c r="K544" s="3" t="s">
        <v>28</v>
      </c>
      <c r="L544" s="3" t="s">
        <v>28</v>
      </c>
      <c r="M544" s="3" t="s">
        <v>2133</v>
      </c>
      <c r="N544" s="3" t="s">
        <v>2134</v>
      </c>
      <c r="O544" s="3" t="s">
        <v>30</v>
      </c>
      <c r="P544" s="3" t="s">
        <v>2135</v>
      </c>
      <c r="Q544" s="3"/>
      <c r="R544" s="3"/>
      <c r="S544" s="3"/>
      <c r="T544" s="3"/>
      <c r="U544" s="3"/>
      <c r="V544" s="3"/>
      <c r="W544" s="3"/>
      <c r="X544" s="3"/>
      <c r="Y544" s="3"/>
      <c r="Z544" s="3"/>
      <c r="AA544" s="3"/>
    </row>
    <row r="545" spans="1:27" ht="14.25" customHeight="1">
      <c r="A545" s="2">
        <v>46178</v>
      </c>
      <c r="B545" s="3" t="s">
        <v>978</v>
      </c>
      <c r="C545" s="3" t="s">
        <v>979</v>
      </c>
      <c r="D545" s="3" t="s">
        <v>978</v>
      </c>
      <c r="E545" s="3" t="s">
        <v>2136</v>
      </c>
      <c r="F545" s="3"/>
      <c r="G545" s="3" t="s">
        <v>1034</v>
      </c>
      <c r="H545" s="3"/>
      <c r="I545" s="3" t="s">
        <v>45</v>
      </c>
      <c r="J545" s="3" t="s">
        <v>21</v>
      </c>
      <c r="K545" s="3" t="s">
        <v>21</v>
      </c>
      <c r="L545" s="3" t="s">
        <v>21</v>
      </c>
      <c r="M545" s="3" t="s">
        <v>2137</v>
      </c>
      <c r="N545" s="3" t="s">
        <v>2138</v>
      </c>
      <c r="O545" s="3" t="s">
        <v>2139</v>
      </c>
      <c r="P545" s="3" t="s">
        <v>2140</v>
      </c>
      <c r="Q545" s="3"/>
      <c r="R545" s="3"/>
      <c r="S545" s="3"/>
      <c r="T545" s="3"/>
      <c r="U545" s="3"/>
      <c r="V545" s="3"/>
      <c r="W545" s="3"/>
      <c r="X545" s="3"/>
      <c r="Y545" s="3"/>
      <c r="Z545" s="3"/>
      <c r="AA545" s="3"/>
    </row>
    <row r="546" spans="1:27" ht="14.25" customHeight="1">
      <c r="A546" s="2">
        <v>46178</v>
      </c>
      <c r="B546" s="3" t="s">
        <v>2141</v>
      </c>
      <c r="C546" s="3" t="s">
        <v>2142</v>
      </c>
      <c r="D546" s="3" t="s">
        <v>2141</v>
      </c>
      <c r="E546" s="3" t="s">
        <v>2143</v>
      </c>
      <c r="F546" s="3"/>
      <c r="G546" s="3" t="s">
        <v>981</v>
      </c>
      <c r="H546" s="3"/>
      <c r="I546" s="3" t="s">
        <v>45</v>
      </c>
      <c r="J546" s="3"/>
      <c r="K546" s="3" t="s">
        <v>28</v>
      </c>
      <c r="L546" s="3" t="s">
        <v>21</v>
      </c>
      <c r="M546" s="3" t="s">
        <v>2144</v>
      </c>
      <c r="N546" s="3" t="s">
        <v>2145</v>
      </c>
      <c r="O546" s="3" t="s">
        <v>55</v>
      </c>
      <c r="P546" s="3" t="s">
        <v>2146</v>
      </c>
      <c r="Q546" s="3"/>
      <c r="R546" s="3"/>
      <c r="S546" s="3"/>
      <c r="T546" s="3"/>
      <c r="U546" s="3"/>
      <c r="V546" s="3"/>
      <c r="W546" s="3"/>
      <c r="X546" s="3"/>
      <c r="Y546" s="3"/>
      <c r="Z546" s="3"/>
      <c r="AA546" s="3"/>
    </row>
    <row r="547" spans="1:27" ht="14.25" customHeight="1">
      <c r="A547" s="2">
        <v>46178</v>
      </c>
      <c r="B547" s="3" t="s">
        <v>2141</v>
      </c>
      <c r="C547" s="3" t="s">
        <v>2142</v>
      </c>
      <c r="D547" s="3" t="s">
        <v>2141</v>
      </c>
      <c r="E547" s="3" t="s">
        <v>2147</v>
      </c>
      <c r="F547" s="3"/>
      <c r="G547" s="3" t="s">
        <v>981</v>
      </c>
      <c r="H547" s="3"/>
      <c r="I547" s="3" t="s">
        <v>20</v>
      </c>
      <c r="J547" s="3" t="s">
        <v>21</v>
      </c>
      <c r="K547" s="3" t="s">
        <v>21</v>
      </c>
      <c r="L547" s="3" t="s">
        <v>21</v>
      </c>
      <c r="M547" s="3" t="s">
        <v>2148</v>
      </c>
      <c r="N547" s="3" t="s">
        <v>2149</v>
      </c>
      <c r="O547" s="3" t="s">
        <v>2150</v>
      </c>
      <c r="P547" s="3" t="s">
        <v>2151</v>
      </c>
      <c r="Q547" s="3"/>
      <c r="R547" s="3"/>
      <c r="S547" s="3"/>
      <c r="T547" s="3"/>
      <c r="U547" s="3"/>
      <c r="V547" s="3"/>
      <c r="W547" s="3"/>
      <c r="X547" s="3"/>
      <c r="Y547" s="3"/>
      <c r="Z547" s="3"/>
      <c r="AA547" s="3"/>
    </row>
    <row r="548" spans="1:27" ht="14.25" customHeight="1">
      <c r="A548" s="2">
        <v>46178</v>
      </c>
      <c r="B548" s="3" t="s">
        <v>1030</v>
      </c>
      <c r="C548" s="3" t="s">
        <v>1031</v>
      </c>
      <c r="D548" s="3" t="s">
        <v>1061</v>
      </c>
      <c r="E548" s="3" t="s">
        <v>2152</v>
      </c>
      <c r="F548" s="3"/>
      <c r="G548" s="3" t="s">
        <v>981</v>
      </c>
      <c r="H548" s="3"/>
      <c r="I548" s="3" t="s">
        <v>20</v>
      </c>
      <c r="J548" s="3"/>
      <c r="K548" s="3" t="s">
        <v>21</v>
      </c>
      <c r="L548" s="3" t="s">
        <v>21</v>
      </c>
      <c r="M548" s="3" t="s">
        <v>2153</v>
      </c>
      <c r="N548" s="3" t="s">
        <v>2154</v>
      </c>
      <c r="O548" s="3" t="s">
        <v>2155</v>
      </c>
      <c r="P548" s="3" t="s">
        <v>2156</v>
      </c>
      <c r="Q548" s="3"/>
      <c r="R548" s="3"/>
      <c r="S548" s="3"/>
      <c r="T548" s="3"/>
      <c r="U548" s="3"/>
      <c r="V548" s="3"/>
      <c r="W548" s="3"/>
      <c r="X548" s="3"/>
      <c r="Y548" s="3"/>
      <c r="Z548" s="3"/>
      <c r="AA548" s="3"/>
    </row>
    <row r="549" spans="1:27" ht="14.25" customHeight="1">
      <c r="A549" s="2">
        <v>46178</v>
      </c>
      <c r="B549" s="3" t="s">
        <v>2141</v>
      </c>
      <c r="C549" s="3" t="s">
        <v>2142</v>
      </c>
      <c r="D549" s="3" t="s">
        <v>2141</v>
      </c>
      <c r="E549" s="3" t="s">
        <v>2143</v>
      </c>
      <c r="F549" s="3"/>
      <c r="G549" s="3" t="s">
        <v>981</v>
      </c>
      <c r="H549" s="3"/>
      <c r="I549" s="3" t="s">
        <v>45</v>
      </c>
      <c r="J549" s="3"/>
      <c r="K549" s="3" t="s">
        <v>21</v>
      </c>
      <c r="L549" s="3" t="s">
        <v>28</v>
      </c>
      <c r="M549" s="3" t="s">
        <v>2157</v>
      </c>
      <c r="N549" s="3" t="s">
        <v>2158</v>
      </c>
      <c r="O549" s="3" t="s">
        <v>55</v>
      </c>
      <c r="P549" s="3"/>
      <c r="Q549" s="3"/>
      <c r="R549" s="3"/>
      <c r="S549" s="3"/>
      <c r="T549" s="3"/>
      <c r="U549" s="3"/>
      <c r="V549" s="3"/>
      <c r="W549" s="3"/>
      <c r="X549" s="3"/>
      <c r="Y549" s="3"/>
      <c r="Z549" s="3"/>
      <c r="AA549" s="3"/>
    </row>
    <row r="550" spans="1:27" ht="14.25" customHeight="1">
      <c r="A550" s="2">
        <v>46178</v>
      </c>
      <c r="B550" s="3" t="s">
        <v>25</v>
      </c>
      <c r="C550" s="3" t="s">
        <v>26</v>
      </c>
      <c r="D550" s="3" t="s">
        <v>25</v>
      </c>
      <c r="E550" s="3" t="s">
        <v>2159</v>
      </c>
      <c r="F550" s="3"/>
      <c r="G550" s="3" t="s">
        <v>19</v>
      </c>
      <c r="H550" s="3"/>
      <c r="I550" s="3" t="s">
        <v>20</v>
      </c>
      <c r="J550" s="3"/>
      <c r="K550" s="3" t="s">
        <v>28</v>
      </c>
      <c r="L550" s="3" t="s">
        <v>28</v>
      </c>
      <c r="M550" s="3" t="s">
        <v>2160</v>
      </c>
      <c r="N550" s="3" t="s">
        <v>2161</v>
      </c>
      <c r="O550" s="3" t="s">
        <v>2162</v>
      </c>
      <c r="P550" s="3" t="s">
        <v>300</v>
      </c>
      <c r="Q550" s="3"/>
      <c r="R550" s="3"/>
      <c r="S550" s="3"/>
      <c r="T550" s="3"/>
      <c r="U550" s="3"/>
      <c r="V550" s="3"/>
      <c r="W550" s="3"/>
      <c r="X550" s="3"/>
      <c r="Y550" s="3"/>
      <c r="Z550" s="3"/>
      <c r="AA550" s="3"/>
    </row>
    <row r="551" spans="1:27" ht="14.25" customHeight="1">
      <c r="A551" s="2">
        <v>46178</v>
      </c>
      <c r="B551" s="3" t="s">
        <v>1030</v>
      </c>
      <c r="C551" s="3" t="s">
        <v>1031</v>
      </c>
      <c r="D551" s="3" t="s">
        <v>1061</v>
      </c>
      <c r="E551" s="3" t="s">
        <v>2152</v>
      </c>
      <c r="F551" s="3"/>
      <c r="G551" s="3" t="s">
        <v>981</v>
      </c>
      <c r="H551" s="3"/>
      <c r="I551" s="3" t="s">
        <v>20</v>
      </c>
      <c r="J551" s="3"/>
      <c r="K551" s="3" t="s">
        <v>21</v>
      </c>
      <c r="L551" s="3" t="s">
        <v>28</v>
      </c>
      <c r="M551" s="3" t="s">
        <v>2163</v>
      </c>
      <c r="N551" s="3" t="s">
        <v>2164</v>
      </c>
      <c r="O551" s="3" t="s">
        <v>2165</v>
      </c>
      <c r="P551" s="3" t="s">
        <v>2166</v>
      </c>
      <c r="Q551" s="3"/>
      <c r="R551" s="3"/>
      <c r="S551" s="3"/>
      <c r="T551" s="3"/>
      <c r="U551" s="3"/>
      <c r="V551" s="3"/>
      <c r="W551" s="3"/>
      <c r="X551" s="3"/>
      <c r="Y551" s="3"/>
      <c r="Z551" s="3"/>
      <c r="AA551" s="3"/>
    </row>
    <row r="552" spans="1:27" ht="14.25" customHeight="1">
      <c r="A552" s="2">
        <v>46178</v>
      </c>
      <c r="B552" s="3" t="s">
        <v>1030</v>
      </c>
      <c r="C552" s="3" t="s">
        <v>1031</v>
      </c>
      <c r="D552" s="3" t="s">
        <v>1061</v>
      </c>
      <c r="E552" s="3" t="s">
        <v>2167</v>
      </c>
      <c r="F552" s="3"/>
      <c r="G552" s="3" t="s">
        <v>1034</v>
      </c>
      <c r="H552" s="3"/>
      <c r="I552" s="3" t="s">
        <v>20</v>
      </c>
      <c r="J552" s="3"/>
      <c r="K552" s="3" t="s">
        <v>28</v>
      </c>
      <c r="L552" s="3" t="s">
        <v>28</v>
      </c>
      <c r="M552" s="3" t="s">
        <v>2168</v>
      </c>
      <c r="N552" s="3" t="s">
        <v>2169</v>
      </c>
      <c r="O552" s="3" t="s">
        <v>2170</v>
      </c>
      <c r="P552" s="3"/>
      <c r="Q552" s="3"/>
      <c r="R552" s="3"/>
      <c r="S552" s="3"/>
      <c r="T552" s="3"/>
      <c r="U552" s="3"/>
      <c r="V552" s="3"/>
      <c r="W552" s="3"/>
      <c r="X552" s="3"/>
      <c r="Y552" s="3"/>
      <c r="Z552" s="3"/>
      <c r="AA552" s="3"/>
    </row>
    <row r="553" spans="1:27" ht="14.25" customHeight="1">
      <c r="A553" s="2">
        <v>46178</v>
      </c>
      <c r="B553" s="3" t="s">
        <v>1030</v>
      </c>
      <c r="C553" s="3" t="s">
        <v>1031</v>
      </c>
      <c r="D553" s="3" t="s">
        <v>1061</v>
      </c>
      <c r="E553" s="3" t="s">
        <v>2152</v>
      </c>
      <c r="F553" s="3"/>
      <c r="G553" s="3" t="s">
        <v>981</v>
      </c>
      <c r="H553" s="3"/>
      <c r="I553" s="3" t="s">
        <v>20</v>
      </c>
      <c r="J553" s="3"/>
      <c r="K553" s="3" t="s">
        <v>21</v>
      </c>
      <c r="L553" s="3" t="s">
        <v>28</v>
      </c>
      <c r="M553" s="3" t="s">
        <v>2171</v>
      </c>
      <c r="N553" s="3" t="s">
        <v>2172</v>
      </c>
      <c r="O553" s="3" t="s">
        <v>2173</v>
      </c>
      <c r="P553" s="3" t="s">
        <v>2174</v>
      </c>
      <c r="Q553" s="3"/>
      <c r="R553" s="3"/>
      <c r="S553" s="3"/>
      <c r="T553" s="3"/>
      <c r="U553" s="3"/>
      <c r="V553" s="3"/>
      <c r="W553" s="3"/>
      <c r="X553" s="3"/>
      <c r="Y553" s="3"/>
      <c r="Z553" s="3"/>
      <c r="AA553" s="3"/>
    </row>
    <row r="554" spans="1:27" ht="14.25" customHeight="1">
      <c r="A554" s="2">
        <v>46178</v>
      </c>
      <c r="B554" s="3" t="s">
        <v>1030</v>
      </c>
      <c r="C554" s="3" t="s">
        <v>1031</v>
      </c>
      <c r="D554" s="3" t="s">
        <v>1061</v>
      </c>
      <c r="E554" s="3" t="s">
        <v>2152</v>
      </c>
      <c r="F554" s="3"/>
      <c r="G554" s="3" t="s">
        <v>981</v>
      </c>
      <c r="H554" s="3"/>
      <c r="I554" s="3" t="s">
        <v>20</v>
      </c>
      <c r="J554" s="3"/>
      <c r="K554" s="3" t="s">
        <v>28</v>
      </c>
      <c r="L554" s="3" t="s">
        <v>21</v>
      </c>
      <c r="M554" s="3" t="s">
        <v>2175</v>
      </c>
      <c r="N554" s="3" t="s">
        <v>2176</v>
      </c>
      <c r="O554" s="3" t="s">
        <v>2177</v>
      </c>
      <c r="P554" s="3" t="s">
        <v>2178</v>
      </c>
      <c r="Q554" s="3"/>
      <c r="R554" s="3"/>
      <c r="S554" s="3"/>
      <c r="T554" s="3"/>
      <c r="U554" s="3"/>
      <c r="V554" s="3"/>
      <c r="W554" s="3"/>
      <c r="X554" s="3"/>
      <c r="Y554" s="3"/>
      <c r="Z554" s="3"/>
      <c r="AA554" s="3"/>
    </row>
    <row r="555" spans="1:27" ht="14.25" customHeight="1">
      <c r="A555" s="2">
        <v>46178</v>
      </c>
      <c r="B555" s="3" t="s">
        <v>81</v>
      </c>
      <c r="C555" s="3" t="s">
        <v>82</v>
      </c>
      <c r="D555" s="3" t="s">
        <v>475</v>
      </c>
      <c r="E555" s="3" t="s">
        <v>2179</v>
      </c>
      <c r="F555" s="3"/>
      <c r="G555" s="3" t="s">
        <v>19</v>
      </c>
      <c r="H555" s="3"/>
      <c r="I555" s="3" t="s">
        <v>20</v>
      </c>
      <c r="J555" s="3"/>
      <c r="K555" s="3" t="s">
        <v>21</v>
      </c>
      <c r="L555" s="3" t="s">
        <v>21</v>
      </c>
      <c r="M555" s="3" t="s">
        <v>2180</v>
      </c>
      <c r="N555" s="3" t="s">
        <v>2181</v>
      </c>
      <c r="O555" s="3" t="s">
        <v>2182</v>
      </c>
      <c r="P555" s="3"/>
      <c r="Q555" s="3"/>
      <c r="R555" s="3"/>
      <c r="S555" s="3"/>
      <c r="T555" s="3"/>
      <c r="U555" s="3"/>
      <c r="V555" s="3"/>
      <c r="W555" s="3"/>
      <c r="X555" s="3"/>
      <c r="Y555" s="3"/>
      <c r="Z555" s="3"/>
      <c r="AA555" s="3"/>
    </row>
    <row r="556" spans="1:27" ht="14.25" customHeight="1">
      <c r="A556" s="2">
        <v>46178</v>
      </c>
      <c r="B556" s="3" t="s">
        <v>15</v>
      </c>
      <c r="C556" s="3" t="s">
        <v>16</v>
      </c>
      <c r="D556" s="3" t="s">
        <v>1064</v>
      </c>
      <c r="E556" s="3" t="s">
        <v>2183</v>
      </c>
      <c r="F556" s="3"/>
      <c r="G556" s="3" t="s">
        <v>19</v>
      </c>
      <c r="H556" s="3"/>
      <c r="I556" s="3" t="s">
        <v>20</v>
      </c>
      <c r="J556" s="3"/>
      <c r="K556" s="3" t="s">
        <v>28</v>
      </c>
      <c r="L556" s="3" t="s">
        <v>28</v>
      </c>
      <c r="M556" s="3" t="s">
        <v>2184</v>
      </c>
      <c r="N556" s="3" t="s">
        <v>2185</v>
      </c>
      <c r="O556" s="3" t="s">
        <v>2186</v>
      </c>
      <c r="P556" s="3"/>
      <c r="Q556" s="3"/>
      <c r="R556" s="3"/>
      <c r="S556" s="3"/>
      <c r="T556" s="3"/>
      <c r="U556" s="3"/>
      <c r="V556" s="3"/>
      <c r="W556" s="3"/>
      <c r="X556" s="3"/>
      <c r="Y556" s="3"/>
      <c r="Z556" s="3"/>
      <c r="AA556" s="3"/>
    </row>
    <row r="557" spans="1:27" ht="14.25" customHeight="1">
      <c r="A557" s="2">
        <v>46178</v>
      </c>
      <c r="B557" s="3" t="s">
        <v>81</v>
      </c>
      <c r="C557" s="3" t="s">
        <v>82</v>
      </c>
      <c r="D557" s="3" t="s">
        <v>475</v>
      </c>
      <c r="E557" s="3" t="s">
        <v>2187</v>
      </c>
      <c r="F557" s="3"/>
      <c r="G557" s="3" t="s">
        <v>19</v>
      </c>
      <c r="H557" s="3"/>
      <c r="I557" s="3" t="s">
        <v>20</v>
      </c>
      <c r="J557" s="3"/>
      <c r="K557" s="3" t="s">
        <v>28</v>
      </c>
      <c r="L557" s="3" t="s">
        <v>28</v>
      </c>
      <c r="M557" s="3" t="s">
        <v>2188</v>
      </c>
      <c r="N557" s="3" t="s">
        <v>48</v>
      </c>
      <c r="O557" s="3" t="s">
        <v>48</v>
      </c>
      <c r="P557" s="3" t="s">
        <v>30</v>
      </c>
      <c r="Q557" s="3"/>
      <c r="R557" s="3"/>
      <c r="S557" s="3"/>
      <c r="T557" s="3"/>
      <c r="U557" s="3"/>
      <c r="V557" s="3"/>
      <c r="W557" s="3"/>
      <c r="X557" s="3"/>
      <c r="Y557" s="3"/>
      <c r="Z557" s="3"/>
      <c r="AA557" s="3"/>
    </row>
    <row r="558" spans="1:27" ht="14.25" customHeight="1">
      <c r="A558" s="2">
        <v>46178</v>
      </c>
      <c r="B558" s="3" t="s">
        <v>15</v>
      </c>
      <c r="C558" s="3" t="s">
        <v>33</v>
      </c>
      <c r="D558" s="3" t="s">
        <v>62</v>
      </c>
      <c r="E558" s="3" t="s">
        <v>2189</v>
      </c>
      <c r="F558" s="3"/>
      <c r="G558" s="3" t="s">
        <v>19</v>
      </c>
      <c r="H558" s="3"/>
      <c r="I558" s="3" t="s">
        <v>20</v>
      </c>
      <c r="J558" s="3"/>
      <c r="K558" s="3" t="s">
        <v>21</v>
      </c>
      <c r="L558" s="3" t="s">
        <v>21</v>
      </c>
      <c r="M558" s="3" t="s">
        <v>2190</v>
      </c>
      <c r="N558" s="3" t="s">
        <v>2191</v>
      </c>
      <c r="O558" s="3" t="s">
        <v>2192</v>
      </c>
      <c r="P558" s="3"/>
      <c r="Q558" s="3"/>
      <c r="R558" s="3"/>
      <c r="S558" s="3"/>
      <c r="T558" s="3"/>
      <c r="U558" s="3"/>
      <c r="V558" s="3"/>
      <c r="W558" s="3"/>
      <c r="X558" s="3"/>
      <c r="Y558" s="3"/>
      <c r="Z558" s="3"/>
      <c r="AA558" s="3"/>
    </row>
    <row r="559" spans="1:27" ht="14.25" customHeight="1">
      <c r="A559" s="2">
        <v>46178</v>
      </c>
      <c r="B559" s="3" t="s">
        <v>978</v>
      </c>
      <c r="C559" s="3" t="s">
        <v>979</v>
      </c>
      <c r="D559" s="3" t="s">
        <v>978</v>
      </c>
      <c r="E559" s="3" t="s">
        <v>1804</v>
      </c>
      <c r="F559" s="3"/>
      <c r="G559" s="3" t="s">
        <v>1034</v>
      </c>
      <c r="H559" s="3"/>
      <c r="I559" s="3" t="s">
        <v>20</v>
      </c>
      <c r="J559" s="3"/>
      <c r="K559" s="3" t="s">
        <v>28</v>
      </c>
      <c r="L559" s="3" t="s">
        <v>28</v>
      </c>
      <c r="M559" s="3" t="s">
        <v>2193</v>
      </c>
      <c r="N559" s="3" t="s">
        <v>444</v>
      </c>
      <c r="O559" s="3" t="s">
        <v>2194</v>
      </c>
      <c r="P559" s="3" t="s">
        <v>1806</v>
      </c>
      <c r="Q559" s="3"/>
      <c r="R559" s="3"/>
      <c r="S559" s="3"/>
      <c r="T559" s="3"/>
      <c r="U559" s="3"/>
      <c r="V559" s="3"/>
      <c r="W559" s="3"/>
      <c r="X559" s="3"/>
      <c r="Y559" s="3"/>
      <c r="Z559" s="3"/>
      <c r="AA559" s="3"/>
    </row>
    <row r="560" spans="1:27" ht="14.25" customHeight="1">
      <c r="A560" s="2">
        <v>46178</v>
      </c>
      <c r="B560" s="3" t="s">
        <v>15</v>
      </c>
      <c r="C560" s="3" t="s">
        <v>33</v>
      </c>
      <c r="D560" s="3" t="s">
        <v>34</v>
      </c>
      <c r="E560" s="3" t="s">
        <v>2195</v>
      </c>
      <c r="F560" s="3"/>
      <c r="G560" s="3" t="s">
        <v>19</v>
      </c>
      <c r="H560" s="3"/>
      <c r="I560" s="3" t="s">
        <v>20</v>
      </c>
      <c r="J560" s="3"/>
      <c r="K560" s="3" t="s">
        <v>21</v>
      </c>
      <c r="L560" s="3" t="s">
        <v>21</v>
      </c>
      <c r="M560" s="3" t="s">
        <v>2196</v>
      </c>
      <c r="N560" s="3" t="s">
        <v>2197</v>
      </c>
      <c r="O560" s="3" t="s">
        <v>21</v>
      </c>
      <c r="P560" s="3" t="s">
        <v>123</v>
      </c>
      <c r="Q560" s="3"/>
      <c r="R560" s="3"/>
      <c r="S560" s="3"/>
      <c r="T560" s="3"/>
      <c r="U560" s="3"/>
      <c r="V560" s="3"/>
      <c r="W560" s="3"/>
      <c r="X560" s="3"/>
      <c r="Y560" s="3"/>
      <c r="Z560" s="3"/>
      <c r="AA560" s="3"/>
    </row>
    <row r="561" spans="1:27" ht="14.25" customHeight="1">
      <c r="A561" s="2">
        <v>46179</v>
      </c>
      <c r="B561" s="3" t="s">
        <v>1030</v>
      </c>
      <c r="C561" s="3" t="s">
        <v>1031</v>
      </c>
      <c r="D561" s="3" t="s">
        <v>1061</v>
      </c>
      <c r="E561" s="3" t="s">
        <v>2198</v>
      </c>
      <c r="F561" s="3"/>
      <c r="G561" s="3" t="s">
        <v>981</v>
      </c>
      <c r="H561" s="3"/>
      <c r="I561" s="3" t="s">
        <v>20</v>
      </c>
      <c r="J561" s="3"/>
      <c r="K561" s="3" t="s">
        <v>21</v>
      </c>
      <c r="L561" s="3" t="s">
        <v>21</v>
      </c>
      <c r="M561" s="3" t="s">
        <v>2199</v>
      </c>
      <c r="N561" s="3" t="s">
        <v>2200</v>
      </c>
      <c r="O561" s="3" t="s">
        <v>2201</v>
      </c>
      <c r="P561" s="3"/>
      <c r="Q561" s="3"/>
      <c r="R561" s="3"/>
      <c r="S561" s="3"/>
      <c r="T561" s="3"/>
      <c r="U561" s="3"/>
      <c r="V561" s="3"/>
      <c r="W561" s="3"/>
      <c r="X561" s="3"/>
      <c r="Y561" s="3"/>
      <c r="Z561" s="3"/>
      <c r="AA561" s="3"/>
    </row>
    <row r="562" spans="1:27" ht="14.25" customHeight="1">
      <c r="A562" s="2">
        <v>46179</v>
      </c>
      <c r="B562" s="3" t="s">
        <v>978</v>
      </c>
      <c r="C562" s="3" t="s">
        <v>979</v>
      </c>
      <c r="D562" s="3" t="s">
        <v>978</v>
      </c>
      <c r="E562" s="3" t="s">
        <v>1954</v>
      </c>
      <c r="F562" s="3"/>
      <c r="G562" s="3" t="s">
        <v>1034</v>
      </c>
      <c r="H562" s="3"/>
      <c r="I562" s="3" t="s">
        <v>45</v>
      </c>
      <c r="J562" s="3"/>
      <c r="K562" s="3" t="s">
        <v>21</v>
      </c>
      <c r="L562" s="3" t="s">
        <v>21</v>
      </c>
      <c r="M562" s="3" t="s">
        <v>2202</v>
      </c>
      <c r="N562" s="3" t="s">
        <v>2203</v>
      </c>
      <c r="O562" s="3" t="s">
        <v>2204</v>
      </c>
      <c r="P562" s="3" t="s">
        <v>2205</v>
      </c>
      <c r="Q562" s="3"/>
      <c r="R562" s="3"/>
      <c r="S562" s="3"/>
      <c r="T562" s="3"/>
      <c r="U562" s="3"/>
      <c r="V562" s="3"/>
      <c r="W562" s="3"/>
      <c r="X562" s="3"/>
      <c r="Y562" s="3"/>
      <c r="Z562" s="3"/>
      <c r="AA562" s="3"/>
    </row>
    <row r="563" spans="1:27" ht="14.25" customHeight="1">
      <c r="A563" s="2">
        <v>46179</v>
      </c>
      <c r="B563" s="3" t="s">
        <v>15</v>
      </c>
      <c r="C563" s="3" t="s">
        <v>16</v>
      </c>
      <c r="D563" s="3" t="s">
        <v>105</v>
      </c>
      <c r="E563" s="3" t="s">
        <v>2206</v>
      </c>
      <c r="F563" s="3"/>
      <c r="G563" s="3" t="s">
        <v>19</v>
      </c>
      <c r="H563" s="3"/>
      <c r="I563" s="3" t="s">
        <v>45</v>
      </c>
      <c r="J563" s="3"/>
      <c r="K563" s="3" t="s">
        <v>28</v>
      </c>
      <c r="L563" s="3" t="s">
        <v>28</v>
      </c>
      <c r="M563" s="3" t="s">
        <v>2207</v>
      </c>
      <c r="N563" s="3" t="s">
        <v>2208</v>
      </c>
      <c r="O563" s="3" t="s">
        <v>2209</v>
      </c>
      <c r="P563" s="3" t="s">
        <v>30</v>
      </c>
      <c r="Q563" s="3"/>
      <c r="R563" s="3"/>
      <c r="S563" s="3"/>
      <c r="T563" s="3"/>
      <c r="U563" s="3"/>
      <c r="V563" s="3"/>
      <c r="W563" s="3"/>
      <c r="X563" s="3"/>
      <c r="Y563" s="3"/>
      <c r="Z563" s="3"/>
      <c r="AA563" s="3"/>
    </row>
    <row r="564" spans="1:27" ht="14.25" customHeight="1">
      <c r="A564" s="2">
        <v>46179</v>
      </c>
      <c r="B564" s="3" t="s">
        <v>15</v>
      </c>
      <c r="C564" s="3" t="s">
        <v>16</v>
      </c>
      <c r="D564" s="3" t="s">
        <v>177</v>
      </c>
      <c r="E564" s="3" t="s">
        <v>2210</v>
      </c>
      <c r="F564" s="3"/>
      <c r="G564" s="3" t="s">
        <v>19</v>
      </c>
      <c r="H564" s="3"/>
      <c r="I564" s="3" t="s">
        <v>20</v>
      </c>
      <c r="J564" s="3"/>
      <c r="K564" s="3" t="s">
        <v>28</v>
      </c>
      <c r="L564" s="3" t="s">
        <v>28</v>
      </c>
      <c r="M564" s="3" t="s">
        <v>2211</v>
      </c>
      <c r="N564" s="3" t="s">
        <v>2212</v>
      </c>
      <c r="O564" s="3" t="s">
        <v>2213</v>
      </c>
      <c r="P564" s="3" t="s">
        <v>30</v>
      </c>
      <c r="Q564" s="3"/>
      <c r="R564" s="3"/>
      <c r="S564" s="3"/>
      <c r="T564" s="3"/>
      <c r="U564" s="3"/>
      <c r="V564" s="3"/>
      <c r="W564" s="3"/>
      <c r="X564" s="3"/>
      <c r="Y564" s="3"/>
      <c r="Z564" s="3"/>
      <c r="AA564" s="3"/>
    </row>
    <row r="565" spans="1:27" ht="14.25" customHeight="1">
      <c r="A565" s="2">
        <v>46179</v>
      </c>
      <c r="B565" s="3" t="s">
        <v>15</v>
      </c>
      <c r="C565" s="3" t="s">
        <v>39</v>
      </c>
      <c r="D565" s="3" t="s">
        <v>67</v>
      </c>
      <c r="E565" s="3" t="s">
        <v>2214</v>
      </c>
      <c r="F565" s="3"/>
      <c r="G565" s="3" t="s">
        <v>19</v>
      </c>
      <c r="H565" s="3"/>
      <c r="I565" s="3" t="s">
        <v>45</v>
      </c>
      <c r="J565" s="3"/>
      <c r="K565" s="3" t="s">
        <v>28</v>
      </c>
      <c r="L565" s="3" t="s">
        <v>28</v>
      </c>
      <c r="M565" s="3" t="s">
        <v>2215</v>
      </c>
      <c r="N565" s="3" t="s">
        <v>2216</v>
      </c>
      <c r="O565" s="3" t="s">
        <v>2217</v>
      </c>
      <c r="P565" s="3"/>
      <c r="Q565" s="3"/>
      <c r="R565" s="3"/>
      <c r="S565" s="3"/>
      <c r="T565" s="3"/>
      <c r="U565" s="3"/>
      <c r="V565" s="3"/>
      <c r="W565" s="3"/>
      <c r="X565" s="3"/>
      <c r="Y565" s="3"/>
      <c r="Z565" s="3"/>
      <c r="AA565" s="3"/>
    </row>
    <row r="566" spans="1:27" ht="14.25" customHeight="1">
      <c r="A566" s="2">
        <v>46179</v>
      </c>
      <c r="B566" s="3" t="s">
        <v>81</v>
      </c>
      <c r="C566" s="3" t="s">
        <v>50</v>
      </c>
      <c r="D566" s="3" t="s">
        <v>919</v>
      </c>
      <c r="E566" s="3" t="s">
        <v>2218</v>
      </c>
      <c r="F566" s="3"/>
      <c r="G566" s="3" t="s">
        <v>19</v>
      </c>
      <c r="H566" s="3"/>
      <c r="I566" s="3" t="s">
        <v>20</v>
      </c>
      <c r="J566" s="3"/>
      <c r="K566" s="3" t="s">
        <v>28</v>
      </c>
      <c r="L566" s="3" t="s">
        <v>28</v>
      </c>
      <c r="M566" s="3" t="s">
        <v>2219</v>
      </c>
      <c r="N566" s="3" t="s">
        <v>2220</v>
      </c>
      <c r="O566" s="3" t="s">
        <v>970</v>
      </c>
      <c r="P566" s="3"/>
      <c r="Q566" s="3"/>
      <c r="R566" s="3"/>
      <c r="S566" s="3"/>
      <c r="T566" s="3"/>
      <c r="U566" s="3"/>
      <c r="V566" s="3"/>
      <c r="W566" s="3"/>
      <c r="X566" s="3"/>
      <c r="Y566" s="3"/>
      <c r="Z566" s="3"/>
      <c r="AA566" s="3"/>
    </row>
    <row r="567" spans="1:27" ht="14.25" customHeight="1">
      <c r="A567" s="2">
        <v>46179</v>
      </c>
      <c r="B567" s="3" t="s">
        <v>81</v>
      </c>
      <c r="C567" s="3" t="s">
        <v>50</v>
      </c>
      <c r="D567" s="3" t="s">
        <v>51</v>
      </c>
      <c r="E567" s="3" t="s">
        <v>2221</v>
      </c>
      <c r="F567" s="3"/>
      <c r="G567" s="3" t="s">
        <v>19</v>
      </c>
      <c r="H567" s="3"/>
      <c r="I567" s="3" t="s">
        <v>20</v>
      </c>
      <c r="J567" s="3"/>
      <c r="K567" s="3" t="s">
        <v>21</v>
      </c>
      <c r="L567" s="3" t="s">
        <v>21</v>
      </c>
      <c r="M567" s="3" t="s">
        <v>2222</v>
      </c>
      <c r="N567" s="3" t="s">
        <v>2223</v>
      </c>
      <c r="O567" s="3" t="s">
        <v>2224</v>
      </c>
      <c r="P567" s="3" t="s">
        <v>2225</v>
      </c>
      <c r="Q567" s="3"/>
      <c r="R567" s="3"/>
      <c r="S567" s="3"/>
      <c r="T567" s="3"/>
      <c r="U567" s="3"/>
      <c r="V567" s="3"/>
      <c r="W567" s="3"/>
      <c r="X567" s="3"/>
      <c r="Y567" s="3"/>
      <c r="Z567" s="3"/>
      <c r="AA567" s="3"/>
    </row>
    <row r="568" spans="1:27" ht="14.25" customHeight="1">
      <c r="A568" s="2">
        <v>46179</v>
      </c>
      <c r="B568" s="3" t="s">
        <v>15</v>
      </c>
      <c r="C568" s="3" t="s">
        <v>33</v>
      </c>
      <c r="D568" s="3" t="s">
        <v>62</v>
      </c>
      <c r="E568" s="3" t="s">
        <v>2226</v>
      </c>
      <c r="F568" s="3"/>
      <c r="G568" s="3" t="s">
        <v>19</v>
      </c>
      <c r="H568" s="3"/>
      <c r="I568" s="3" t="s">
        <v>45</v>
      </c>
      <c r="J568" s="3"/>
      <c r="K568" s="3" t="s">
        <v>28</v>
      </c>
      <c r="L568" s="3" t="s">
        <v>21</v>
      </c>
      <c r="M568" s="3" t="s">
        <v>2227</v>
      </c>
      <c r="N568" s="3" t="s">
        <v>513</v>
      </c>
      <c r="O568" s="3" t="s">
        <v>2228</v>
      </c>
      <c r="P568" s="3" t="s">
        <v>48</v>
      </c>
      <c r="Q568" s="3"/>
      <c r="R568" s="3"/>
      <c r="S568" s="3"/>
      <c r="T568" s="3"/>
      <c r="U568" s="3"/>
      <c r="V568" s="3"/>
      <c r="W568" s="3"/>
      <c r="X568" s="3"/>
      <c r="Y568" s="3"/>
      <c r="Z568" s="3"/>
      <c r="AA568" s="3"/>
    </row>
    <row r="569" spans="1:27" ht="14.25" customHeight="1">
      <c r="A569" s="2">
        <v>46179</v>
      </c>
      <c r="B569" s="3" t="s">
        <v>15</v>
      </c>
      <c r="C569" s="3" t="s">
        <v>39</v>
      </c>
      <c r="D569" s="3" t="s">
        <v>67</v>
      </c>
      <c r="E569" s="3" t="s">
        <v>2229</v>
      </c>
      <c r="F569" s="3"/>
      <c r="G569" s="3" t="s">
        <v>19</v>
      </c>
      <c r="H569" s="3"/>
      <c r="I569" s="3" t="s">
        <v>20</v>
      </c>
      <c r="J569" s="3"/>
      <c r="K569" s="3" t="s">
        <v>28</v>
      </c>
      <c r="L569" s="3" t="s">
        <v>28</v>
      </c>
      <c r="M569" s="3" t="s">
        <v>2230</v>
      </c>
      <c r="N569" s="3" t="s">
        <v>2231</v>
      </c>
      <c r="O569" s="3" t="s">
        <v>2232</v>
      </c>
      <c r="P569" s="3" t="s">
        <v>2233</v>
      </c>
      <c r="Q569" s="3"/>
      <c r="R569" s="3"/>
      <c r="S569" s="3"/>
      <c r="T569" s="3"/>
      <c r="U569" s="3"/>
      <c r="V569" s="3"/>
      <c r="W569" s="3"/>
      <c r="X569" s="3"/>
      <c r="Y569" s="3"/>
      <c r="Z569" s="3"/>
      <c r="AA569" s="3"/>
    </row>
    <row r="570" spans="1:27" ht="14.25" customHeight="1">
      <c r="A570" s="2">
        <v>46179</v>
      </c>
      <c r="B570" s="3" t="s">
        <v>1073</v>
      </c>
      <c r="C570" s="3" t="s">
        <v>1074</v>
      </c>
      <c r="D570" s="3" t="s">
        <v>1075</v>
      </c>
      <c r="E570" s="3" t="s">
        <v>2234</v>
      </c>
      <c r="F570" s="3"/>
      <c r="G570" s="3" t="s">
        <v>981</v>
      </c>
      <c r="H570" s="3"/>
      <c r="I570" s="3" t="s">
        <v>20</v>
      </c>
      <c r="J570" s="3"/>
      <c r="K570" s="3" t="s">
        <v>28</v>
      </c>
      <c r="L570" s="3" t="s">
        <v>28</v>
      </c>
      <c r="M570" s="3" t="s">
        <v>2235</v>
      </c>
      <c r="N570" s="3" t="s">
        <v>2236</v>
      </c>
      <c r="O570" s="3" t="s">
        <v>2237</v>
      </c>
      <c r="P570" s="3" t="s">
        <v>2238</v>
      </c>
      <c r="Q570" s="3"/>
      <c r="R570" s="3"/>
      <c r="S570" s="3"/>
      <c r="T570" s="3"/>
      <c r="U570" s="3"/>
      <c r="V570" s="3"/>
      <c r="W570" s="3"/>
      <c r="X570" s="3"/>
      <c r="Y570" s="3"/>
      <c r="Z570" s="3"/>
      <c r="AA570" s="3"/>
    </row>
    <row r="571" spans="1:27" ht="14.25" customHeight="1">
      <c r="A571" s="2">
        <v>46179</v>
      </c>
      <c r="B571" s="3" t="s">
        <v>72</v>
      </c>
      <c r="C571" s="3" t="s">
        <v>73</v>
      </c>
      <c r="D571" s="3" t="s">
        <v>72</v>
      </c>
      <c r="E571" s="3" t="s">
        <v>2239</v>
      </c>
      <c r="F571" s="3"/>
      <c r="G571" s="3" t="s">
        <v>19</v>
      </c>
      <c r="H571" s="3"/>
      <c r="I571" s="3" t="s">
        <v>20</v>
      </c>
      <c r="J571" s="3"/>
      <c r="K571" s="3" t="s">
        <v>21</v>
      </c>
      <c r="L571" s="3" t="s">
        <v>28</v>
      </c>
      <c r="M571" s="3" t="s">
        <v>2240</v>
      </c>
      <c r="N571" s="3" t="s">
        <v>48</v>
      </c>
      <c r="O571" s="3" t="s">
        <v>2241</v>
      </c>
      <c r="P571" s="3"/>
      <c r="Q571" s="3"/>
      <c r="R571" s="3"/>
      <c r="S571" s="3"/>
      <c r="T571" s="3"/>
      <c r="U571" s="3"/>
      <c r="V571" s="3"/>
      <c r="W571" s="3"/>
      <c r="X571" s="3"/>
      <c r="Y571" s="3"/>
      <c r="Z571" s="3"/>
      <c r="AA571" s="3"/>
    </row>
    <row r="572" spans="1:27" ht="14.25" customHeight="1">
      <c r="A572" s="2">
        <v>46179</v>
      </c>
      <c r="B572" s="3" t="s">
        <v>15</v>
      </c>
      <c r="C572" s="3" t="s">
        <v>33</v>
      </c>
      <c r="D572" s="3" t="s">
        <v>62</v>
      </c>
      <c r="E572" s="3" t="s">
        <v>2242</v>
      </c>
      <c r="F572" s="3"/>
      <c r="G572" s="3" t="s">
        <v>19</v>
      </c>
      <c r="H572" s="3"/>
      <c r="I572" s="3" t="s">
        <v>45</v>
      </c>
      <c r="J572" s="3"/>
      <c r="K572" s="3" t="s">
        <v>21</v>
      </c>
      <c r="L572" s="3" t="s">
        <v>21</v>
      </c>
      <c r="M572" s="3" t="s">
        <v>2243</v>
      </c>
      <c r="N572" s="3" t="s">
        <v>2244</v>
      </c>
      <c r="O572" s="3" t="s">
        <v>163</v>
      </c>
      <c r="P572" s="3" t="s">
        <v>56</v>
      </c>
      <c r="Q572" s="3"/>
      <c r="R572" s="3"/>
      <c r="S572" s="3"/>
      <c r="T572" s="3"/>
      <c r="U572" s="3"/>
      <c r="V572" s="3"/>
      <c r="W572" s="3"/>
      <c r="X572" s="3"/>
      <c r="Y572" s="3"/>
      <c r="Z572" s="3"/>
      <c r="AA572" s="3"/>
    </row>
    <row r="573" spans="1:27" ht="14.25" customHeight="1">
      <c r="A573" s="2">
        <v>46180</v>
      </c>
      <c r="B573" s="3" t="s">
        <v>72</v>
      </c>
      <c r="C573" s="3" t="s">
        <v>73</v>
      </c>
      <c r="D573" s="3" t="s">
        <v>72</v>
      </c>
      <c r="E573" s="3" t="s">
        <v>2245</v>
      </c>
      <c r="F573" s="3"/>
      <c r="G573" s="3" t="s">
        <v>19</v>
      </c>
      <c r="H573" s="3"/>
      <c r="I573" s="3" t="s">
        <v>45</v>
      </c>
      <c r="J573" s="3"/>
      <c r="K573" s="3" t="s">
        <v>21</v>
      </c>
      <c r="L573" s="3" t="s">
        <v>21</v>
      </c>
      <c r="M573" s="3" t="s">
        <v>2246</v>
      </c>
      <c r="N573" s="3" t="s">
        <v>2247</v>
      </c>
      <c r="O573" s="3" t="s">
        <v>2248</v>
      </c>
      <c r="P573" s="3"/>
      <c r="Q573" s="3"/>
      <c r="R573" s="3"/>
      <c r="S573" s="3"/>
      <c r="T573" s="3"/>
      <c r="U573" s="3"/>
      <c r="V573" s="3"/>
      <c r="W573" s="3"/>
      <c r="X573" s="3"/>
      <c r="Y573" s="3"/>
      <c r="Z573" s="3"/>
      <c r="AA573" s="3"/>
    </row>
    <row r="574" spans="1:27" ht="14.25" customHeight="1">
      <c r="A574" s="2">
        <v>46180</v>
      </c>
      <c r="B574" s="3" t="s">
        <v>15</v>
      </c>
      <c r="C574" s="3" t="s">
        <v>33</v>
      </c>
      <c r="D574" s="3" t="s">
        <v>553</v>
      </c>
      <c r="E574" s="3" t="s">
        <v>2249</v>
      </c>
      <c r="F574" s="3"/>
      <c r="G574" s="3" t="s">
        <v>19</v>
      </c>
      <c r="H574" s="3"/>
      <c r="I574" s="3" t="s">
        <v>45</v>
      </c>
      <c r="J574" s="3"/>
      <c r="K574" s="3" t="s">
        <v>28</v>
      </c>
      <c r="L574" s="3" t="s">
        <v>28</v>
      </c>
      <c r="M574" s="3" t="s">
        <v>2250</v>
      </c>
      <c r="N574" s="3" t="s">
        <v>1806</v>
      </c>
      <c r="O574" s="3" t="s">
        <v>2251</v>
      </c>
      <c r="P574" s="3"/>
      <c r="Q574" s="3"/>
      <c r="R574" s="3"/>
      <c r="S574" s="3"/>
      <c r="T574" s="3"/>
      <c r="U574" s="3"/>
      <c r="V574" s="3"/>
      <c r="W574" s="3"/>
      <c r="X574" s="3"/>
      <c r="Y574" s="3"/>
      <c r="Z574" s="3"/>
      <c r="AA574" s="3"/>
    </row>
    <row r="575" spans="1:27" ht="14.25" customHeight="1">
      <c r="A575" s="2">
        <v>46180</v>
      </c>
      <c r="B575" s="3" t="s">
        <v>15</v>
      </c>
      <c r="C575" s="3" t="s">
        <v>33</v>
      </c>
      <c r="D575" s="3" t="s">
        <v>553</v>
      </c>
      <c r="E575" s="3" t="s">
        <v>2252</v>
      </c>
      <c r="F575" s="3"/>
      <c r="G575" s="3" t="s">
        <v>19</v>
      </c>
      <c r="H575" s="3"/>
      <c r="I575" s="3" t="s">
        <v>20</v>
      </c>
      <c r="J575" s="3"/>
      <c r="K575" s="3" t="s">
        <v>21</v>
      </c>
      <c r="L575" s="3" t="s">
        <v>28</v>
      </c>
      <c r="M575" s="3" t="s">
        <v>2253</v>
      </c>
      <c r="N575" s="3" t="s">
        <v>48</v>
      </c>
      <c r="O575" s="3" t="s">
        <v>48</v>
      </c>
      <c r="P575" s="3"/>
      <c r="Q575" s="3"/>
      <c r="R575" s="3"/>
      <c r="S575" s="3"/>
      <c r="T575" s="3"/>
      <c r="U575" s="3"/>
      <c r="V575" s="3"/>
      <c r="W575" s="3"/>
      <c r="X575" s="3"/>
      <c r="Y575" s="3"/>
      <c r="Z575" s="3"/>
      <c r="AA575" s="3"/>
    </row>
    <row r="576" spans="1:27" ht="14.25" customHeight="1">
      <c r="A576" s="2">
        <v>46180</v>
      </c>
      <c r="B576" s="3" t="s">
        <v>1030</v>
      </c>
      <c r="C576" s="3" t="s">
        <v>1031</v>
      </c>
      <c r="D576" s="3" t="s">
        <v>1061</v>
      </c>
      <c r="E576" s="3" t="s">
        <v>2254</v>
      </c>
      <c r="F576" s="3"/>
      <c r="G576" s="3" t="s">
        <v>981</v>
      </c>
      <c r="H576" s="3"/>
      <c r="I576" s="3" t="s">
        <v>20</v>
      </c>
      <c r="J576" s="3"/>
      <c r="K576" s="3" t="s">
        <v>21</v>
      </c>
      <c r="L576" s="3" t="s">
        <v>21</v>
      </c>
      <c r="M576" s="3" t="s">
        <v>1544</v>
      </c>
      <c r="N576" s="3" t="s">
        <v>513</v>
      </c>
      <c r="O576" s="3" t="s">
        <v>123</v>
      </c>
      <c r="P576" s="3" t="s">
        <v>123</v>
      </c>
      <c r="Q576" s="3"/>
      <c r="R576" s="3"/>
      <c r="S576" s="3"/>
      <c r="T576" s="3"/>
      <c r="U576" s="3"/>
      <c r="V576" s="3"/>
      <c r="W576" s="3"/>
      <c r="X576" s="3"/>
      <c r="Y576" s="3"/>
      <c r="Z576" s="3"/>
      <c r="AA576" s="3"/>
    </row>
    <row r="577" spans="1:27" ht="14.25" customHeight="1">
      <c r="A577" s="2">
        <v>46180</v>
      </c>
      <c r="B577" s="3" t="s">
        <v>15</v>
      </c>
      <c r="C577" s="3" t="s">
        <v>39</v>
      </c>
      <c r="D577" s="3" t="s">
        <v>57</v>
      </c>
      <c r="E577" s="3" t="s">
        <v>2255</v>
      </c>
      <c r="F577" s="3"/>
      <c r="G577" s="3" t="s">
        <v>19</v>
      </c>
      <c r="H577" s="3"/>
      <c r="I577" s="3" t="s">
        <v>20</v>
      </c>
      <c r="J577" s="3"/>
      <c r="K577" s="3" t="s">
        <v>28</v>
      </c>
      <c r="L577" s="3" t="s">
        <v>28</v>
      </c>
      <c r="M577" s="3" t="s">
        <v>2256</v>
      </c>
      <c r="N577" s="3" t="s">
        <v>2257</v>
      </c>
      <c r="O577" s="3" t="s">
        <v>2258</v>
      </c>
      <c r="P577" s="3"/>
      <c r="Q577" s="3"/>
      <c r="R577" s="3"/>
      <c r="S577" s="3"/>
      <c r="T577" s="3"/>
      <c r="U577" s="3"/>
      <c r="V577" s="3"/>
      <c r="W577" s="3"/>
      <c r="X577" s="3"/>
      <c r="Y577" s="3"/>
      <c r="Z577" s="3"/>
      <c r="AA577" s="3"/>
    </row>
    <row r="578" spans="1:27" ht="14.25" customHeight="1">
      <c r="A578" s="2">
        <v>46181</v>
      </c>
      <c r="B578" s="3" t="s">
        <v>15</v>
      </c>
      <c r="C578" s="3" t="s">
        <v>16</v>
      </c>
      <c r="D578" s="3" t="s">
        <v>1064</v>
      </c>
      <c r="E578" s="3" t="s">
        <v>2259</v>
      </c>
      <c r="F578" s="3"/>
      <c r="G578" s="3" t="s">
        <v>19</v>
      </c>
      <c r="H578" s="3"/>
      <c r="I578" s="3" t="s">
        <v>20</v>
      </c>
      <c r="J578" s="3"/>
      <c r="K578" s="3" t="s">
        <v>21</v>
      </c>
      <c r="L578" s="3" t="s">
        <v>28</v>
      </c>
      <c r="M578" s="3" t="s">
        <v>2260</v>
      </c>
      <c r="N578" s="3" t="s">
        <v>2261</v>
      </c>
      <c r="O578" s="3" t="s">
        <v>30</v>
      </c>
      <c r="P578" s="3" t="s">
        <v>48</v>
      </c>
      <c r="Q578" s="3"/>
      <c r="R578" s="3"/>
      <c r="S578" s="3"/>
      <c r="T578" s="3"/>
      <c r="U578" s="3"/>
      <c r="V578" s="3"/>
      <c r="W578" s="3"/>
      <c r="X578" s="3"/>
      <c r="Y578" s="3"/>
      <c r="Z578" s="3"/>
      <c r="AA578" s="3"/>
    </row>
    <row r="579" spans="1:27" ht="14.25" customHeight="1">
      <c r="A579" s="2">
        <v>46181</v>
      </c>
      <c r="B579" s="3" t="s">
        <v>15</v>
      </c>
      <c r="C579" s="3" t="s">
        <v>16</v>
      </c>
      <c r="D579" s="3" t="s">
        <v>105</v>
      </c>
      <c r="E579" s="3" t="s">
        <v>2262</v>
      </c>
      <c r="F579" s="3"/>
      <c r="G579" s="3" t="s">
        <v>19</v>
      </c>
      <c r="H579" s="3"/>
      <c r="I579" s="3" t="s">
        <v>45</v>
      </c>
      <c r="J579" s="3"/>
      <c r="K579" s="3" t="s">
        <v>21</v>
      </c>
      <c r="L579" s="3" t="s">
        <v>28</v>
      </c>
      <c r="M579" s="3" t="s">
        <v>2263</v>
      </c>
      <c r="N579" s="3" t="s">
        <v>2264</v>
      </c>
      <c r="O579" s="3" t="s">
        <v>2265</v>
      </c>
      <c r="P579" s="3"/>
      <c r="Q579" s="3"/>
      <c r="R579" s="3"/>
      <c r="S579" s="3"/>
      <c r="T579" s="3"/>
      <c r="U579" s="3"/>
      <c r="V579" s="3"/>
      <c r="W579" s="3"/>
      <c r="X579" s="3"/>
      <c r="Y579" s="3"/>
      <c r="Z579" s="3"/>
      <c r="AA579" s="3"/>
    </row>
    <row r="580" spans="1:27" ht="14.25" customHeight="1">
      <c r="A580" s="2">
        <v>46181</v>
      </c>
      <c r="B580" s="3" t="s">
        <v>15</v>
      </c>
      <c r="C580" s="3" t="s">
        <v>33</v>
      </c>
      <c r="D580" s="3" t="s">
        <v>62</v>
      </c>
      <c r="E580" s="3" t="s">
        <v>2266</v>
      </c>
      <c r="F580" s="3"/>
      <c r="G580" s="3" t="s">
        <v>19</v>
      </c>
      <c r="H580" s="3"/>
      <c r="I580" s="3" t="s">
        <v>20</v>
      </c>
      <c r="J580" s="3"/>
      <c r="K580" s="3" t="s">
        <v>21</v>
      </c>
      <c r="L580" s="3" t="s">
        <v>21</v>
      </c>
      <c r="M580" s="3" t="s">
        <v>761</v>
      </c>
      <c r="N580" s="3" t="s">
        <v>2267</v>
      </c>
      <c r="O580" s="3" t="s">
        <v>2268</v>
      </c>
      <c r="P580" s="3"/>
      <c r="Q580" s="3"/>
      <c r="R580" s="3"/>
      <c r="S580" s="3"/>
      <c r="T580" s="3"/>
      <c r="U580" s="3"/>
      <c r="V580" s="3"/>
      <c r="W580" s="3"/>
      <c r="X580" s="3"/>
      <c r="Y580" s="3"/>
      <c r="Z580" s="3"/>
      <c r="AA580" s="3"/>
    </row>
    <row r="581" spans="1:27" ht="14.25" customHeight="1">
      <c r="A581" s="2">
        <v>46181</v>
      </c>
      <c r="B581" s="3" t="s">
        <v>15</v>
      </c>
      <c r="C581" s="3" t="s">
        <v>33</v>
      </c>
      <c r="D581" s="3" t="s">
        <v>62</v>
      </c>
      <c r="E581" s="3" t="s">
        <v>2269</v>
      </c>
      <c r="F581" s="3"/>
      <c r="G581" s="3" t="s">
        <v>19</v>
      </c>
      <c r="H581" s="3"/>
      <c r="I581" s="3" t="s">
        <v>20</v>
      </c>
      <c r="J581" s="3"/>
      <c r="K581" s="3" t="s">
        <v>21</v>
      </c>
      <c r="L581" s="3" t="s">
        <v>21</v>
      </c>
      <c r="M581" s="3" t="s">
        <v>2270</v>
      </c>
      <c r="N581" s="3" t="s">
        <v>2271</v>
      </c>
      <c r="O581" s="3" t="s">
        <v>2272</v>
      </c>
      <c r="P581" s="3"/>
      <c r="Q581" s="3"/>
      <c r="R581" s="3"/>
      <c r="S581" s="3"/>
      <c r="T581" s="3"/>
      <c r="U581" s="3"/>
      <c r="V581" s="3"/>
      <c r="W581" s="3"/>
      <c r="X581" s="3"/>
      <c r="Y581" s="3"/>
      <c r="Z581" s="3"/>
      <c r="AA581" s="3"/>
    </row>
    <row r="582" spans="1:27" ht="14.25" customHeight="1">
      <c r="A582" s="2">
        <v>46178</v>
      </c>
      <c r="B582" s="3" t="s">
        <v>15</v>
      </c>
      <c r="C582" s="3" t="s">
        <v>16</v>
      </c>
      <c r="D582" s="3" t="s">
        <v>105</v>
      </c>
      <c r="E582" s="3" t="s">
        <v>2273</v>
      </c>
      <c r="F582" s="3"/>
      <c r="G582" s="3" t="s">
        <v>19</v>
      </c>
      <c r="H582" s="3"/>
      <c r="I582" s="3" t="s">
        <v>20</v>
      </c>
      <c r="J582" s="3"/>
      <c r="K582" s="3" t="s">
        <v>28</v>
      </c>
      <c r="L582" s="3" t="s">
        <v>21</v>
      </c>
      <c r="M582" s="3" t="s">
        <v>2274</v>
      </c>
      <c r="N582" s="3" t="s">
        <v>30</v>
      </c>
      <c r="O582" s="3" t="s">
        <v>2275</v>
      </c>
      <c r="P582" s="3" t="s">
        <v>48</v>
      </c>
      <c r="Q582" s="3"/>
      <c r="R582" s="3"/>
      <c r="S582" s="3"/>
      <c r="T582" s="3"/>
      <c r="U582" s="3"/>
      <c r="V582" s="3"/>
      <c r="W582" s="3"/>
      <c r="X582" s="3"/>
      <c r="Y582" s="3"/>
      <c r="Z582" s="3"/>
      <c r="AA582" s="3"/>
    </row>
    <row r="583" spans="1:27" ht="14.25" customHeight="1">
      <c r="A583" s="2">
        <v>46181</v>
      </c>
      <c r="B583" s="3" t="s">
        <v>15</v>
      </c>
      <c r="C583" s="3" t="s">
        <v>33</v>
      </c>
      <c r="D583" s="3" t="s">
        <v>62</v>
      </c>
      <c r="E583" s="3" t="s">
        <v>2276</v>
      </c>
      <c r="F583" s="3"/>
      <c r="G583" s="3" t="s">
        <v>19</v>
      </c>
      <c r="H583" s="3"/>
      <c r="I583" s="3" t="s">
        <v>45</v>
      </c>
      <c r="J583" s="3"/>
      <c r="K583" s="3" t="s">
        <v>28</v>
      </c>
      <c r="L583" s="3" t="s">
        <v>28</v>
      </c>
      <c r="M583" s="3" t="s">
        <v>2277</v>
      </c>
      <c r="N583" s="3" t="s">
        <v>2278</v>
      </c>
      <c r="O583" s="3" t="s">
        <v>2279</v>
      </c>
      <c r="P583" s="3" t="s">
        <v>48</v>
      </c>
      <c r="Q583" s="3"/>
      <c r="R583" s="3"/>
      <c r="S583" s="3"/>
      <c r="T583" s="3"/>
      <c r="U583" s="3"/>
      <c r="V583" s="3"/>
      <c r="W583" s="3"/>
      <c r="X583" s="3"/>
      <c r="Y583" s="3"/>
      <c r="Z583" s="3"/>
      <c r="AA583" s="3"/>
    </row>
    <row r="584" spans="1:27" ht="14.25" customHeight="1">
      <c r="A584" s="2">
        <v>46181</v>
      </c>
      <c r="B584" s="3" t="s">
        <v>25</v>
      </c>
      <c r="C584" s="3" t="s">
        <v>26</v>
      </c>
      <c r="D584" s="3" t="s">
        <v>25</v>
      </c>
      <c r="E584" s="3" t="s">
        <v>2280</v>
      </c>
      <c r="F584" s="3"/>
      <c r="G584" s="3" t="s">
        <v>19</v>
      </c>
      <c r="H584" s="3"/>
      <c r="I584" s="3" t="s">
        <v>20</v>
      </c>
      <c r="J584" s="3"/>
      <c r="K584" s="3" t="s">
        <v>21</v>
      </c>
      <c r="L584" s="3" t="s">
        <v>21</v>
      </c>
      <c r="M584" s="3" t="s">
        <v>2281</v>
      </c>
      <c r="N584" s="3" t="s">
        <v>513</v>
      </c>
      <c r="O584" s="3" t="s">
        <v>2282</v>
      </c>
      <c r="P584" s="3" t="s">
        <v>48</v>
      </c>
      <c r="Q584" s="3"/>
      <c r="R584" s="3"/>
      <c r="S584" s="3"/>
      <c r="T584" s="3"/>
      <c r="U584" s="3"/>
      <c r="V584" s="3"/>
      <c r="W584" s="3"/>
      <c r="X584" s="3"/>
      <c r="Y584" s="3"/>
      <c r="Z584" s="3"/>
      <c r="AA584" s="3"/>
    </row>
    <row r="585" spans="1:27" ht="14.25" customHeight="1">
      <c r="A585" s="2">
        <v>46181</v>
      </c>
      <c r="B585" s="3" t="s">
        <v>15</v>
      </c>
      <c r="C585" s="3" t="s">
        <v>33</v>
      </c>
      <c r="D585" s="3" t="s">
        <v>62</v>
      </c>
      <c r="E585" s="3" t="s">
        <v>2283</v>
      </c>
      <c r="F585" s="3"/>
      <c r="G585" s="3" t="s">
        <v>19</v>
      </c>
      <c r="H585" s="3"/>
      <c r="I585" s="3" t="s">
        <v>45</v>
      </c>
      <c r="J585" s="3"/>
      <c r="K585" s="3" t="s">
        <v>21</v>
      </c>
      <c r="L585" s="3" t="s">
        <v>21</v>
      </c>
      <c r="M585" s="3" t="s">
        <v>2284</v>
      </c>
      <c r="N585" s="3" t="s">
        <v>1343</v>
      </c>
      <c r="O585" s="3" t="s">
        <v>100</v>
      </c>
      <c r="P585" s="3" t="s">
        <v>48</v>
      </c>
      <c r="Q585" s="3"/>
      <c r="R585" s="3"/>
      <c r="S585" s="3"/>
      <c r="T585" s="3"/>
      <c r="U585" s="3"/>
      <c r="V585" s="3"/>
      <c r="W585" s="3"/>
      <c r="X585" s="3"/>
      <c r="Y585" s="3"/>
      <c r="Z585" s="3"/>
      <c r="AA585" s="3"/>
    </row>
    <row r="586" spans="1:27" ht="14.25" customHeight="1">
      <c r="A586" s="2">
        <v>46181</v>
      </c>
      <c r="B586" s="3" t="s">
        <v>15</v>
      </c>
      <c r="C586" s="3" t="s">
        <v>33</v>
      </c>
      <c r="D586" s="3" t="s">
        <v>62</v>
      </c>
      <c r="E586" s="3" t="s">
        <v>2285</v>
      </c>
      <c r="F586" s="3"/>
      <c r="G586" s="3" t="s">
        <v>19</v>
      </c>
      <c r="H586" s="3"/>
      <c r="I586" s="3" t="s">
        <v>20</v>
      </c>
      <c r="J586" s="3"/>
      <c r="K586" s="3" t="s">
        <v>28</v>
      </c>
      <c r="L586" s="3" t="s">
        <v>28</v>
      </c>
      <c r="M586" s="3" t="s">
        <v>2286</v>
      </c>
      <c r="N586" s="3" t="s">
        <v>1529</v>
      </c>
      <c r="O586" s="3" t="s">
        <v>2287</v>
      </c>
      <c r="P586" s="3" t="s">
        <v>100</v>
      </c>
      <c r="Q586" s="3"/>
      <c r="R586" s="3"/>
      <c r="S586" s="3"/>
      <c r="T586" s="3"/>
      <c r="U586" s="3"/>
      <c r="V586" s="3"/>
      <c r="W586" s="3"/>
      <c r="X586" s="3"/>
      <c r="Y586" s="3"/>
      <c r="Z586" s="3"/>
      <c r="AA586" s="3"/>
    </row>
    <row r="587" spans="1:27" ht="14.25" customHeight="1">
      <c r="A587" s="2">
        <v>46181</v>
      </c>
      <c r="B587" s="3" t="s">
        <v>15</v>
      </c>
      <c r="C587" s="3" t="s">
        <v>39</v>
      </c>
      <c r="D587" s="3" t="s">
        <v>67</v>
      </c>
      <c r="E587" s="3" t="s">
        <v>2288</v>
      </c>
      <c r="F587" s="3"/>
      <c r="G587" s="3" t="s">
        <v>19</v>
      </c>
      <c r="H587" s="3"/>
      <c r="I587" s="3" t="s">
        <v>20</v>
      </c>
      <c r="J587" s="3"/>
      <c r="K587" s="3" t="s">
        <v>28</v>
      </c>
      <c r="L587" s="3" t="s">
        <v>28</v>
      </c>
      <c r="M587" s="3" t="s">
        <v>2289</v>
      </c>
      <c r="N587" s="3" t="s">
        <v>2290</v>
      </c>
      <c r="O587" s="3" t="s">
        <v>2291</v>
      </c>
      <c r="P587" s="3" t="s">
        <v>48</v>
      </c>
      <c r="Q587" s="3"/>
      <c r="R587" s="3"/>
      <c r="S587" s="3"/>
      <c r="T587" s="3"/>
      <c r="U587" s="3"/>
      <c r="V587" s="3"/>
      <c r="W587" s="3"/>
      <c r="X587" s="3"/>
      <c r="Y587" s="3"/>
      <c r="Z587" s="3"/>
      <c r="AA587" s="3"/>
    </row>
    <row r="588" spans="1:27" ht="14.25" customHeight="1">
      <c r="A588" s="2">
        <v>46181</v>
      </c>
      <c r="B588" s="3" t="s">
        <v>15</v>
      </c>
      <c r="C588" s="3" t="s">
        <v>33</v>
      </c>
      <c r="D588" s="3" t="s">
        <v>62</v>
      </c>
      <c r="E588" s="3" t="s">
        <v>2292</v>
      </c>
      <c r="F588" s="3"/>
      <c r="G588" s="3" t="s">
        <v>19</v>
      </c>
      <c r="H588" s="3"/>
      <c r="I588" s="3" t="s">
        <v>20</v>
      </c>
      <c r="J588" s="3"/>
      <c r="K588" s="3" t="s">
        <v>21</v>
      </c>
      <c r="L588" s="3" t="s">
        <v>21</v>
      </c>
      <c r="M588" s="3" t="s">
        <v>2293</v>
      </c>
      <c r="N588" s="3" t="s">
        <v>2294</v>
      </c>
      <c r="O588" s="3" t="s">
        <v>2295</v>
      </c>
      <c r="P588" s="3" t="s">
        <v>30</v>
      </c>
      <c r="Q588" s="3"/>
      <c r="R588" s="3"/>
      <c r="S588" s="3"/>
      <c r="T588" s="3"/>
      <c r="U588" s="3"/>
      <c r="V588" s="3"/>
      <c r="W588" s="3"/>
      <c r="X588" s="3"/>
      <c r="Y588" s="3"/>
      <c r="Z588" s="3"/>
      <c r="AA588" s="3"/>
    </row>
    <row r="589" spans="1:27" ht="14.25" customHeight="1">
      <c r="A589" s="2">
        <v>46181</v>
      </c>
      <c r="B589" s="3" t="s">
        <v>15</v>
      </c>
      <c r="C589" s="3" t="s">
        <v>33</v>
      </c>
      <c r="D589" s="3" t="s">
        <v>62</v>
      </c>
      <c r="E589" s="3" t="s">
        <v>2296</v>
      </c>
      <c r="F589" s="3"/>
      <c r="G589" s="3" t="s">
        <v>19</v>
      </c>
      <c r="H589" s="3"/>
      <c r="I589" s="3" t="s">
        <v>20</v>
      </c>
      <c r="J589" s="3"/>
      <c r="K589" s="3" t="s">
        <v>21</v>
      </c>
      <c r="L589" s="3" t="s">
        <v>21</v>
      </c>
      <c r="M589" s="3" t="s">
        <v>2297</v>
      </c>
      <c r="N589" s="3" t="s">
        <v>2298</v>
      </c>
      <c r="O589" s="3" t="s">
        <v>2299</v>
      </c>
      <c r="P589" s="3"/>
      <c r="Q589" s="3"/>
      <c r="R589" s="3"/>
      <c r="S589" s="3"/>
      <c r="T589" s="3"/>
      <c r="U589" s="3"/>
      <c r="V589" s="3"/>
      <c r="W589" s="3"/>
      <c r="X589" s="3"/>
      <c r="Y589" s="3"/>
      <c r="Z589" s="3"/>
      <c r="AA589" s="3"/>
    </row>
    <row r="590" spans="1:27" ht="14.25" customHeight="1">
      <c r="A590" s="2">
        <v>46181</v>
      </c>
      <c r="B590" s="3" t="s">
        <v>15</v>
      </c>
      <c r="C590" s="3" t="s">
        <v>33</v>
      </c>
      <c r="D590" s="3" t="s">
        <v>62</v>
      </c>
      <c r="E590" s="3" t="s">
        <v>2300</v>
      </c>
      <c r="F590" s="3"/>
      <c r="G590" s="3" t="s">
        <v>19</v>
      </c>
      <c r="H590" s="3"/>
      <c r="I590" s="3" t="s">
        <v>20</v>
      </c>
      <c r="J590" s="3"/>
      <c r="K590" s="3" t="s">
        <v>21</v>
      </c>
      <c r="L590" s="3" t="s">
        <v>21</v>
      </c>
      <c r="M590" s="3" t="s">
        <v>2301</v>
      </c>
      <c r="N590" s="3" t="s">
        <v>2302</v>
      </c>
      <c r="O590" s="3" t="s">
        <v>2303</v>
      </c>
      <c r="P590" s="3" t="s">
        <v>2304</v>
      </c>
      <c r="Q590" s="3"/>
      <c r="R590" s="3"/>
      <c r="S590" s="3"/>
      <c r="T590" s="3"/>
      <c r="U590" s="3"/>
      <c r="V590" s="3"/>
      <c r="W590" s="3"/>
      <c r="X590" s="3"/>
      <c r="Y590" s="3"/>
      <c r="Z590" s="3"/>
      <c r="AA590" s="3"/>
    </row>
    <row r="591" spans="1:27" ht="14.25" customHeight="1"/>
    <row r="592" spans="1:27"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4D95E-905F-4F2C-9E86-BD09A0D7560D}">
  <sheetPr>
    <pageSetUpPr autoPageBreaks="0"/>
  </sheetPr>
  <dimension ref="A1:Y592"/>
  <sheetViews>
    <sheetView tabSelected="1" topLeftCell="P579" workbookViewId="0">
      <selection activeCell="S593" sqref="S593"/>
    </sheetView>
  </sheetViews>
  <sheetFormatPr defaultRowHeight="15"/>
  <cols>
    <col min="1" max="1" width="12" customWidth="1"/>
    <col min="2" max="2" width="14.7109375" customWidth="1"/>
    <col min="3" max="3" width="26.85546875" customWidth="1"/>
    <col min="4" max="4" width="27.85546875" customWidth="1"/>
    <col min="5" max="5" width="82.28515625" customWidth="1"/>
    <col min="6" max="6" width="24.28515625" customWidth="1"/>
    <col min="7" max="7" width="37" customWidth="1"/>
    <col min="8" max="8" width="56" customWidth="1"/>
    <col min="9" max="9" width="62" customWidth="1"/>
    <col min="10" max="10" width="50.7109375" customWidth="1"/>
    <col min="11" max="11" width="18.5703125" customWidth="1"/>
    <col min="12" max="12" width="14" customWidth="1"/>
    <col min="13" max="13" width="29.5703125" customWidth="1"/>
    <col min="14" max="14" width="188.28515625" customWidth="1"/>
    <col min="15" max="15" width="84.5703125" customWidth="1"/>
    <col min="16" max="16" width="188.28515625" customWidth="1"/>
    <col min="17" max="17" width="100" customWidth="1"/>
    <col min="18" max="18" width="9.140625" customWidth="1"/>
  </cols>
  <sheetData>
    <row r="1" spans="1:25">
      <c r="A1" s="6" t="s">
        <v>0</v>
      </c>
      <c r="B1" s="6" t="s">
        <v>1</v>
      </c>
      <c r="C1" s="6" t="s">
        <v>2</v>
      </c>
      <c r="D1" s="6" t="s">
        <v>3</v>
      </c>
      <c r="E1" s="6" t="s">
        <v>2755</v>
      </c>
      <c r="F1" s="6" t="s">
        <v>3629</v>
      </c>
      <c r="G1" s="6" t="s">
        <v>5</v>
      </c>
      <c r="H1" s="6" t="s">
        <v>7</v>
      </c>
      <c r="I1" s="6" t="s">
        <v>9</v>
      </c>
      <c r="J1" s="6" t="s">
        <v>10</v>
      </c>
      <c r="K1" s="6" t="s">
        <v>3626</v>
      </c>
      <c r="L1" s="7" t="s">
        <v>3627</v>
      </c>
      <c r="M1" s="8" t="s">
        <v>3628</v>
      </c>
      <c r="N1" s="6" t="s">
        <v>11</v>
      </c>
      <c r="O1" s="6" t="s">
        <v>12</v>
      </c>
      <c r="P1" s="6" t="s">
        <v>13</v>
      </c>
      <c r="Q1" s="6" t="s">
        <v>14</v>
      </c>
    </row>
    <row r="2" spans="1:25">
      <c r="A2" s="9">
        <v>46178</v>
      </c>
      <c r="B2" s="5" t="s">
        <v>15</v>
      </c>
      <c r="C2" s="5" t="s">
        <v>16</v>
      </c>
      <c r="D2" s="5" t="s">
        <v>17</v>
      </c>
      <c r="E2" s="5" t="s">
        <v>2305</v>
      </c>
      <c r="F2" s="5">
        <f>LEN(E2)</f>
        <v>17</v>
      </c>
      <c r="G2" s="5" t="s">
        <v>19</v>
      </c>
      <c r="H2" s="5" t="s">
        <v>20</v>
      </c>
      <c r="I2" s="5" t="s">
        <v>21</v>
      </c>
      <c r="J2" s="5" t="s">
        <v>21</v>
      </c>
      <c r="K2" s="5">
        <f>IF(I2="Very Good",4,IF(I2="Good",3,IF(I2="Poor",2,IF(I2="Very Poor",1,""))))</f>
        <v>3</v>
      </c>
      <c r="L2" s="5">
        <f>IF(J2="Very Good",4,IF(J2="Good",3,IF(J2="Poor",2,IF(J2="Very Poor",1,""))))</f>
        <v>3</v>
      </c>
      <c r="M2" s="5" t="str">
        <f t="shared" ref="M2:M65" si="0">IF(OR(I2="Poor",I2="Very Poor"),"YES","")</f>
        <v/>
      </c>
      <c r="N2" s="5" t="s">
        <v>22</v>
      </c>
      <c r="O2" s="5" t="s">
        <v>23</v>
      </c>
      <c r="P2" s="5"/>
      <c r="Q2" s="5"/>
      <c r="Y2">
        <f>COUNTBLANK(Q2:Q590)</f>
        <v>378</v>
      </c>
    </row>
    <row r="3" spans="1:25">
      <c r="A3" s="9">
        <v>46178</v>
      </c>
      <c r="B3" s="5" t="s">
        <v>25</v>
      </c>
      <c r="C3" s="5" t="s">
        <v>3380</v>
      </c>
      <c r="D3" s="5" t="s">
        <v>25</v>
      </c>
      <c r="E3" s="5" t="s">
        <v>3427</v>
      </c>
      <c r="F3" s="5">
        <f t="shared" ref="F3:F66" si="1">LEN(E3)</f>
        <v>52</v>
      </c>
      <c r="G3" s="5" t="s">
        <v>19</v>
      </c>
      <c r="H3" s="5" t="s">
        <v>20</v>
      </c>
      <c r="I3" s="5" t="s">
        <v>28</v>
      </c>
      <c r="J3" s="5" t="s">
        <v>28</v>
      </c>
      <c r="K3" s="5">
        <f t="shared" ref="K3:K66" si="2">IF(I3="Very Good",4,IF(I3="Good",3,IF(I3="Poor",2,IF(I3="Very Poor",1,""))))</f>
        <v>4</v>
      </c>
      <c r="L3" s="5">
        <f t="shared" ref="L3:L66" si="3">IF(J3="Very Good",4,IF(J3="Good",3,IF(J3="Poor",2,IF(J3="Very Poor",1,""))))</f>
        <v>4</v>
      </c>
      <c r="M3" s="5" t="str">
        <f t="shared" si="0"/>
        <v/>
      </c>
      <c r="N3" s="5" t="s">
        <v>29</v>
      </c>
      <c r="O3" s="5"/>
      <c r="P3" s="5" t="s">
        <v>31</v>
      </c>
      <c r="Q3" s="5" t="s">
        <v>32</v>
      </c>
    </row>
    <row r="4" spans="1:25">
      <c r="A4" s="9">
        <v>46178</v>
      </c>
      <c r="B4" s="5" t="s">
        <v>15</v>
      </c>
      <c r="C4" s="5" t="s">
        <v>33</v>
      </c>
      <c r="D4" s="5" t="s">
        <v>34</v>
      </c>
      <c r="E4" s="5" t="s">
        <v>2306</v>
      </c>
      <c r="F4" s="5">
        <f t="shared" si="1"/>
        <v>21</v>
      </c>
      <c r="G4" s="5" t="s">
        <v>19</v>
      </c>
      <c r="H4" s="5" t="s">
        <v>20</v>
      </c>
      <c r="I4" s="5" t="s">
        <v>21</v>
      </c>
      <c r="J4" s="5" t="s">
        <v>21</v>
      </c>
      <c r="K4" s="5">
        <f t="shared" si="2"/>
        <v>3</v>
      </c>
      <c r="L4" s="5">
        <f t="shared" si="3"/>
        <v>3</v>
      </c>
      <c r="M4" s="5" t="str">
        <f t="shared" si="0"/>
        <v/>
      </c>
      <c r="N4" s="5" t="s">
        <v>36</v>
      </c>
      <c r="O4" s="5" t="s">
        <v>2828</v>
      </c>
      <c r="P4" s="5" t="s">
        <v>2829</v>
      </c>
      <c r="Q4" s="5"/>
    </row>
    <row r="5" spans="1:25">
      <c r="A5" s="9">
        <v>46178</v>
      </c>
      <c r="B5" s="5" t="s">
        <v>15</v>
      </c>
      <c r="C5" s="5" t="s">
        <v>39</v>
      </c>
      <c r="D5" s="5" t="s">
        <v>15</v>
      </c>
      <c r="E5" s="5" t="s">
        <v>2307</v>
      </c>
      <c r="F5" s="5">
        <f t="shared" si="1"/>
        <v>33</v>
      </c>
      <c r="G5" s="10" t="s">
        <v>19</v>
      </c>
      <c r="H5" s="5" t="s">
        <v>20</v>
      </c>
      <c r="I5" s="5" t="s">
        <v>21</v>
      </c>
      <c r="J5" s="5" t="s">
        <v>21</v>
      </c>
      <c r="K5" s="5">
        <f t="shared" si="2"/>
        <v>3</v>
      </c>
      <c r="L5" s="5">
        <f t="shared" si="3"/>
        <v>3</v>
      </c>
      <c r="M5" s="5" t="str">
        <f t="shared" si="0"/>
        <v/>
      </c>
      <c r="N5" s="5" t="s">
        <v>41</v>
      </c>
      <c r="O5" s="5" t="s">
        <v>42</v>
      </c>
      <c r="P5" s="5" t="s">
        <v>43</v>
      </c>
      <c r="Q5" s="5"/>
    </row>
    <row r="6" spans="1:25">
      <c r="A6" s="9">
        <v>46178</v>
      </c>
      <c r="B6" s="5" t="s">
        <v>15</v>
      </c>
      <c r="C6" s="5" t="s">
        <v>33</v>
      </c>
      <c r="D6" s="5" t="s">
        <v>34</v>
      </c>
      <c r="E6" s="5" t="s">
        <v>2308</v>
      </c>
      <c r="F6" s="5">
        <f t="shared" si="1"/>
        <v>35</v>
      </c>
      <c r="G6" s="5" t="s">
        <v>19</v>
      </c>
      <c r="H6" s="5" t="s">
        <v>45</v>
      </c>
      <c r="I6" s="5" t="s">
        <v>21</v>
      </c>
      <c r="J6" s="5" t="s">
        <v>21</v>
      </c>
      <c r="K6" s="5">
        <f t="shared" si="2"/>
        <v>3</v>
      </c>
      <c r="L6" s="5">
        <f t="shared" si="3"/>
        <v>3</v>
      </c>
      <c r="M6" s="5" t="str">
        <f t="shared" si="0"/>
        <v/>
      </c>
      <c r="N6" s="5" t="s">
        <v>2830</v>
      </c>
      <c r="O6" s="5" t="s">
        <v>2831</v>
      </c>
      <c r="P6" s="5"/>
      <c r="Q6" s="5"/>
    </row>
    <row r="7" spans="1:25">
      <c r="A7" s="9">
        <v>46178</v>
      </c>
      <c r="B7" s="5" t="s">
        <v>49</v>
      </c>
      <c r="C7" s="5" t="s">
        <v>50</v>
      </c>
      <c r="D7" s="4" t="s">
        <v>3636</v>
      </c>
      <c r="E7" s="5" t="s">
        <v>2309</v>
      </c>
      <c r="F7" s="5">
        <f t="shared" si="1"/>
        <v>28</v>
      </c>
      <c r="G7" s="5" t="s">
        <v>19</v>
      </c>
      <c r="H7" s="5" t="s">
        <v>20</v>
      </c>
      <c r="I7" s="5" t="s">
        <v>28</v>
      </c>
      <c r="J7" s="5" t="s">
        <v>28</v>
      </c>
      <c r="K7" s="5">
        <f t="shared" si="2"/>
        <v>4</v>
      </c>
      <c r="L7" s="5">
        <f t="shared" si="3"/>
        <v>4</v>
      </c>
      <c r="M7" s="5" t="str">
        <f t="shared" si="0"/>
        <v/>
      </c>
      <c r="N7" s="5" t="s">
        <v>53</v>
      </c>
      <c r="O7" s="5" t="s">
        <v>2832</v>
      </c>
      <c r="P7" s="5" t="s">
        <v>55</v>
      </c>
      <c r="Q7" s="5"/>
    </row>
    <row r="8" spans="1:25">
      <c r="A8" s="9">
        <v>46178</v>
      </c>
      <c r="B8" s="5" t="s">
        <v>15</v>
      </c>
      <c r="C8" s="5" t="s">
        <v>39</v>
      </c>
      <c r="D8" s="5" t="s">
        <v>3382</v>
      </c>
      <c r="E8" s="5" t="s">
        <v>2762</v>
      </c>
      <c r="F8" s="5">
        <f t="shared" si="1"/>
        <v>40</v>
      </c>
      <c r="G8" s="5" t="s">
        <v>19</v>
      </c>
      <c r="H8" s="5" t="s">
        <v>45</v>
      </c>
      <c r="I8" s="5" t="s">
        <v>28</v>
      </c>
      <c r="J8" s="5" t="s">
        <v>28</v>
      </c>
      <c r="K8" s="5">
        <f t="shared" si="2"/>
        <v>4</v>
      </c>
      <c r="L8" s="5">
        <f t="shared" si="3"/>
        <v>4</v>
      </c>
      <c r="M8" s="5" t="str">
        <f t="shared" si="0"/>
        <v/>
      </c>
      <c r="N8" s="5" t="s">
        <v>59</v>
      </c>
      <c r="O8" s="5" t="s">
        <v>60</v>
      </c>
      <c r="P8" s="5" t="s">
        <v>61</v>
      </c>
      <c r="Q8" s="5"/>
    </row>
    <row r="9" spans="1:25">
      <c r="A9" s="9">
        <v>46178</v>
      </c>
      <c r="B9" s="5" t="s">
        <v>15</v>
      </c>
      <c r="C9" s="5" t="s">
        <v>33</v>
      </c>
      <c r="D9" s="5" t="s">
        <v>62</v>
      </c>
      <c r="E9" s="5" t="s">
        <v>2310</v>
      </c>
      <c r="F9" s="5">
        <f t="shared" si="1"/>
        <v>27</v>
      </c>
      <c r="G9" s="5" t="s">
        <v>19</v>
      </c>
      <c r="H9" s="5" t="s">
        <v>45</v>
      </c>
      <c r="I9" s="5" t="s">
        <v>28</v>
      </c>
      <c r="J9" s="5" t="s">
        <v>28</v>
      </c>
      <c r="K9" s="5">
        <f t="shared" si="2"/>
        <v>4</v>
      </c>
      <c r="L9" s="5">
        <f t="shared" si="3"/>
        <v>4</v>
      </c>
      <c r="M9" s="5" t="str">
        <f t="shared" si="0"/>
        <v/>
      </c>
      <c r="N9" s="5" t="s">
        <v>64</v>
      </c>
      <c r="O9" s="5" t="s">
        <v>65</v>
      </c>
      <c r="P9" s="5" t="s">
        <v>2819</v>
      </c>
      <c r="Q9" s="5"/>
    </row>
    <row r="10" spans="1:25">
      <c r="A10" s="9">
        <v>46178</v>
      </c>
      <c r="B10" s="5" t="s">
        <v>15</v>
      </c>
      <c r="C10" s="5" t="s">
        <v>39</v>
      </c>
      <c r="D10" s="4" t="s">
        <v>3637</v>
      </c>
      <c r="E10" s="5" t="s">
        <v>2833</v>
      </c>
      <c r="F10" s="5">
        <f t="shared" si="1"/>
        <v>32</v>
      </c>
      <c r="G10" s="5" t="s">
        <v>19</v>
      </c>
      <c r="H10" s="5" t="s">
        <v>20</v>
      </c>
      <c r="I10" s="5" t="s">
        <v>21</v>
      </c>
      <c r="J10" s="5" t="s">
        <v>21</v>
      </c>
      <c r="K10" s="5">
        <f t="shared" si="2"/>
        <v>3</v>
      </c>
      <c r="L10" s="5">
        <f t="shared" si="3"/>
        <v>3</v>
      </c>
      <c r="M10" s="5" t="str">
        <f t="shared" si="0"/>
        <v/>
      </c>
      <c r="N10" s="5" t="s">
        <v>69</v>
      </c>
      <c r="O10" s="5" t="s">
        <v>70</v>
      </c>
      <c r="P10" s="5" t="s">
        <v>71</v>
      </c>
      <c r="Q10" s="5"/>
    </row>
    <row r="11" spans="1:25">
      <c r="A11" s="9">
        <v>46178</v>
      </c>
      <c r="B11" s="5" t="s">
        <v>72</v>
      </c>
      <c r="C11" s="5" t="s">
        <v>3384</v>
      </c>
      <c r="D11" s="5" t="s">
        <v>72</v>
      </c>
      <c r="E11" s="5" t="s">
        <v>2311</v>
      </c>
      <c r="F11" s="5">
        <f t="shared" si="1"/>
        <v>29</v>
      </c>
      <c r="G11" s="5" t="s">
        <v>19</v>
      </c>
      <c r="H11" s="5" t="s">
        <v>45</v>
      </c>
      <c r="I11" s="5" t="s">
        <v>21</v>
      </c>
      <c r="J11" s="5" t="s">
        <v>21</v>
      </c>
      <c r="K11" s="5">
        <f t="shared" si="2"/>
        <v>3</v>
      </c>
      <c r="L11" s="5">
        <f t="shared" si="3"/>
        <v>3</v>
      </c>
      <c r="M11" s="5" t="str">
        <f t="shared" si="0"/>
        <v/>
      </c>
      <c r="N11" s="5" t="s">
        <v>75</v>
      </c>
      <c r="O11" s="5" t="s">
        <v>76</v>
      </c>
      <c r="P11" s="5" t="s">
        <v>77</v>
      </c>
      <c r="Q11" s="5"/>
    </row>
    <row r="12" spans="1:25">
      <c r="A12" s="9">
        <v>46178</v>
      </c>
      <c r="B12" s="5" t="s">
        <v>15</v>
      </c>
      <c r="C12" s="5" t="s">
        <v>16</v>
      </c>
      <c r="D12" s="5" t="s">
        <v>17</v>
      </c>
      <c r="E12" s="5" t="s">
        <v>2312</v>
      </c>
      <c r="F12" s="5">
        <f t="shared" si="1"/>
        <v>21</v>
      </c>
      <c r="G12" s="5" t="s">
        <v>19</v>
      </c>
      <c r="H12" s="5" t="s">
        <v>20</v>
      </c>
      <c r="I12" s="5" t="s">
        <v>21</v>
      </c>
      <c r="J12" s="5" t="s">
        <v>21</v>
      </c>
      <c r="K12" s="5">
        <f t="shared" si="2"/>
        <v>3</v>
      </c>
      <c r="L12" s="5">
        <f t="shared" si="3"/>
        <v>3</v>
      </c>
      <c r="M12" s="5" t="str">
        <f t="shared" si="0"/>
        <v/>
      </c>
      <c r="N12" s="5" t="s">
        <v>2834</v>
      </c>
      <c r="O12" s="5" t="s">
        <v>2763</v>
      </c>
      <c r="P12" s="5"/>
      <c r="Q12" s="5"/>
    </row>
    <row r="13" spans="1:25">
      <c r="A13" s="9">
        <v>46178</v>
      </c>
      <c r="B13" s="5" t="s">
        <v>81</v>
      </c>
      <c r="C13" s="5" t="s">
        <v>82</v>
      </c>
      <c r="D13" s="5" t="s">
        <v>83</v>
      </c>
      <c r="E13" s="5" t="s">
        <v>2313</v>
      </c>
      <c r="F13" s="5">
        <f t="shared" si="1"/>
        <v>33</v>
      </c>
      <c r="G13" s="5" t="s">
        <v>19</v>
      </c>
      <c r="H13" s="5" t="s">
        <v>45</v>
      </c>
      <c r="I13" s="5" t="s">
        <v>21</v>
      </c>
      <c r="J13" s="5" t="s">
        <v>21</v>
      </c>
      <c r="K13" s="5">
        <f t="shared" si="2"/>
        <v>3</v>
      </c>
      <c r="L13" s="5">
        <f t="shared" si="3"/>
        <v>3</v>
      </c>
      <c r="M13" s="5" t="str">
        <f t="shared" si="0"/>
        <v/>
      </c>
      <c r="N13" s="5" t="s">
        <v>85</v>
      </c>
      <c r="O13" s="5" t="s">
        <v>2764</v>
      </c>
      <c r="P13" s="5" t="s">
        <v>3428</v>
      </c>
      <c r="Q13" s="5"/>
    </row>
    <row r="14" spans="1:25">
      <c r="A14" s="9">
        <v>46178</v>
      </c>
      <c r="B14" s="5" t="s">
        <v>49</v>
      </c>
      <c r="C14" s="5" t="s">
        <v>50</v>
      </c>
      <c r="D14" s="4" t="s">
        <v>3638</v>
      </c>
      <c r="E14" s="5" t="s">
        <v>2314</v>
      </c>
      <c r="F14" s="5">
        <f t="shared" si="1"/>
        <v>28</v>
      </c>
      <c r="G14" s="5" t="s">
        <v>19</v>
      </c>
      <c r="H14" s="5" t="s">
        <v>20</v>
      </c>
      <c r="I14" s="5" t="s">
        <v>21</v>
      </c>
      <c r="J14" s="5" t="s">
        <v>28</v>
      </c>
      <c r="K14" s="5">
        <f t="shared" si="2"/>
        <v>3</v>
      </c>
      <c r="L14" s="5">
        <f t="shared" si="3"/>
        <v>4</v>
      </c>
      <c r="M14" s="5" t="str">
        <f t="shared" si="0"/>
        <v/>
      </c>
      <c r="N14" s="5" t="s">
        <v>2835</v>
      </c>
      <c r="O14" s="5" t="s">
        <v>2836</v>
      </c>
      <c r="P14" s="5" t="s">
        <v>2837</v>
      </c>
      <c r="Q14" s="5"/>
    </row>
    <row r="15" spans="1:25">
      <c r="A15" s="9">
        <v>46178</v>
      </c>
      <c r="B15" s="5" t="s">
        <v>81</v>
      </c>
      <c r="C15" s="5" t="s">
        <v>82</v>
      </c>
      <c r="D15" s="5" t="s">
        <v>83</v>
      </c>
      <c r="E15" s="5" t="s">
        <v>2315</v>
      </c>
      <c r="F15" s="5">
        <f t="shared" si="1"/>
        <v>21</v>
      </c>
      <c r="G15" s="5" t="s">
        <v>19</v>
      </c>
      <c r="H15" s="5" t="s">
        <v>20</v>
      </c>
      <c r="I15" s="5" t="s">
        <v>21</v>
      </c>
      <c r="J15" s="5" t="s">
        <v>21</v>
      </c>
      <c r="K15" s="5">
        <f t="shared" si="2"/>
        <v>3</v>
      </c>
      <c r="L15" s="5">
        <f t="shared" si="3"/>
        <v>3</v>
      </c>
      <c r="M15" s="5" t="str">
        <f t="shared" si="0"/>
        <v/>
      </c>
      <c r="N15" s="5" t="s">
        <v>2838</v>
      </c>
      <c r="O15" s="5"/>
      <c r="P15" s="5"/>
      <c r="Q15" s="5"/>
    </row>
    <row r="16" spans="1:25">
      <c r="A16" s="9">
        <v>46178</v>
      </c>
      <c r="B16" s="5" t="s">
        <v>81</v>
      </c>
      <c r="C16" s="5" t="s">
        <v>82</v>
      </c>
      <c r="D16" s="5" t="s">
        <v>95</v>
      </c>
      <c r="E16" s="5" t="s">
        <v>2316</v>
      </c>
      <c r="F16" s="5">
        <f t="shared" si="1"/>
        <v>45</v>
      </c>
      <c r="G16" s="5" t="s">
        <v>19</v>
      </c>
      <c r="H16" s="5" t="s">
        <v>20</v>
      </c>
      <c r="I16" s="5" t="s">
        <v>21</v>
      </c>
      <c r="J16" s="5" t="s">
        <v>21</v>
      </c>
      <c r="K16" s="5">
        <f t="shared" si="2"/>
        <v>3</v>
      </c>
      <c r="L16" s="5">
        <f t="shared" si="3"/>
        <v>3</v>
      </c>
      <c r="M16" s="5" t="str">
        <f t="shared" si="0"/>
        <v/>
      </c>
      <c r="N16" s="5" t="s">
        <v>97</v>
      </c>
      <c r="O16" s="5" t="s">
        <v>98</v>
      </c>
      <c r="P16" s="5" t="s">
        <v>99</v>
      </c>
      <c r="Q16" s="5" t="s">
        <v>100</v>
      </c>
    </row>
    <row r="17" spans="1:17">
      <c r="A17" s="9">
        <v>46178</v>
      </c>
      <c r="B17" s="5" t="s">
        <v>15</v>
      </c>
      <c r="C17" s="5" t="s">
        <v>39</v>
      </c>
      <c r="D17" s="4" t="s">
        <v>3639</v>
      </c>
      <c r="E17" s="5" t="s">
        <v>2839</v>
      </c>
      <c r="F17" s="5">
        <f t="shared" si="1"/>
        <v>38</v>
      </c>
      <c r="G17" s="5" t="s">
        <v>19</v>
      </c>
      <c r="H17" s="5" t="s">
        <v>45</v>
      </c>
      <c r="I17" s="5" t="s">
        <v>21</v>
      </c>
      <c r="J17" s="5" t="s">
        <v>28</v>
      </c>
      <c r="K17" s="5">
        <f t="shared" si="2"/>
        <v>3</v>
      </c>
      <c r="L17" s="5">
        <f t="shared" si="3"/>
        <v>4</v>
      </c>
      <c r="M17" s="5" t="str">
        <f t="shared" si="0"/>
        <v/>
      </c>
      <c r="N17" s="5" t="s">
        <v>102</v>
      </c>
      <c r="O17" s="5" t="s">
        <v>3429</v>
      </c>
      <c r="P17" s="5" t="s">
        <v>104</v>
      </c>
      <c r="Q17" s="5"/>
    </row>
    <row r="18" spans="1:17">
      <c r="A18" s="9">
        <v>46178</v>
      </c>
      <c r="B18" s="5" t="s">
        <v>15</v>
      </c>
      <c r="C18" s="5" t="s">
        <v>16</v>
      </c>
      <c r="D18" s="5" t="s">
        <v>105</v>
      </c>
      <c r="E18" s="5" t="s">
        <v>2317</v>
      </c>
      <c r="F18" s="5">
        <f t="shared" si="1"/>
        <v>26</v>
      </c>
      <c r="G18" s="5" t="s">
        <v>107</v>
      </c>
      <c r="H18" s="5" t="s">
        <v>20</v>
      </c>
      <c r="I18" s="5" t="s">
        <v>21</v>
      </c>
      <c r="J18" s="5" t="s">
        <v>21</v>
      </c>
      <c r="K18" s="5">
        <f t="shared" si="2"/>
        <v>3</v>
      </c>
      <c r="L18" s="5">
        <f t="shared" si="3"/>
        <v>3</v>
      </c>
      <c r="M18" s="5" t="str">
        <f t="shared" si="0"/>
        <v/>
      </c>
      <c r="N18" s="5" t="s">
        <v>2765</v>
      </c>
      <c r="O18" s="5" t="s">
        <v>109</v>
      </c>
      <c r="P18" s="5" t="s">
        <v>110</v>
      </c>
      <c r="Q18" s="5"/>
    </row>
    <row r="19" spans="1:17">
      <c r="A19" s="9">
        <v>46178</v>
      </c>
      <c r="B19" s="5" t="s">
        <v>111</v>
      </c>
      <c r="C19" s="5" t="s">
        <v>112</v>
      </c>
      <c r="D19" s="5" t="s">
        <v>3385</v>
      </c>
      <c r="E19" s="5" t="s">
        <v>2318</v>
      </c>
      <c r="F19" s="5">
        <f t="shared" si="1"/>
        <v>29</v>
      </c>
      <c r="G19" s="5" t="s">
        <v>19</v>
      </c>
      <c r="H19" s="5" t="s">
        <v>45</v>
      </c>
      <c r="I19" s="5" t="s">
        <v>21</v>
      </c>
      <c r="J19" s="5" t="s">
        <v>28</v>
      </c>
      <c r="K19" s="5">
        <f t="shared" si="2"/>
        <v>3</v>
      </c>
      <c r="L19" s="5">
        <f t="shared" si="3"/>
        <v>4</v>
      </c>
      <c r="M19" s="5" t="str">
        <f t="shared" si="0"/>
        <v/>
      </c>
      <c r="N19" s="5" t="s">
        <v>3430</v>
      </c>
      <c r="O19" s="5" t="s">
        <v>116</v>
      </c>
      <c r="P19" s="5" t="s">
        <v>3431</v>
      </c>
      <c r="Q19" s="5" t="s">
        <v>118</v>
      </c>
    </row>
    <row r="20" spans="1:17">
      <c r="A20" s="9">
        <v>46178</v>
      </c>
      <c r="B20" s="5" t="s">
        <v>15</v>
      </c>
      <c r="C20" s="5" t="s">
        <v>33</v>
      </c>
      <c r="D20" s="5" t="s">
        <v>34</v>
      </c>
      <c r="E20" s="5" t="s">
        <v>2840</v>
      </c>
      <c r="F20" s="5">
        <f t="shared" si="1"/>
        <v>36</v>
      </c>
      <c r="G20" s="5" t="s">
        <v>19</v>
      </c>
      <c r="H20" s="5" t="s">
        <v>45</v>
      </c>
      <c r="I20" s="5" t="s">
        <v>21</v>
      </c>
      <c r="J20" s="5" t="s">
        <v>21</v>
      </c>
      <c r="K20" s="5">
        <f t="shared" si="2"/>
        <v>3</v>
      </c>
      <c r="L20" s="5">
        <f t="shared" si="3"/>
        <v>3</v>
      </c>
      <c r="M20" s="5" t="str">
        <f t="shared" si="0"/>
        <v/>
      </c>
      <c r="N20" s="5" t="s">
        <v>120</v>
      </c>
      <c r="O20" s="5" t="s">
        <v>2766</v>
      </c>
      <c r="P20" s="5" t="s">
        <v>122</v>
      </c>
      <c r="Q20" s="5" t="s">
        <v>123</v>
      </c>
    </row>
    <row r="21" spans="1:17">
      <c r="A21" s="9">
        <v>46178</v>
      </c>
      <c r="B21" s="5" t="s">
        <v>111</v>
      </c>
      <c r="C21" s="5" t="s">
        <v>112</v>
      </c>
      <c r="D21" s="5" t="s">
        <v>3385</v>
      </c>
      <c r="E21" s="5" t="s">
        <v>2319</v>
      </c>
      <c r="F21" s="5">
        <f t="shared" si="1"/>
        <v>23</v>
      </c>
      <c r="G21" s="5" t="s">
        <v>19</v>
      </c>
      <c r="H21" s="5" t="s">
        <v>20</v>
      </c>
      <c r="I21" s="5" t="s">
        <v>28</v>
      </c>
      <c r="J21" s="5" t="s">
        <v>28</v>
      </c>
      <c r="K21" s="5">
        <f t="shared" si="2"/>
        <v>4</v>
      </c>
      <c r="L21" s="5">
        <f t="shared" si="3"/>
        <v>4</v>
      </c>
      <c r="M21" s="5" t="str">
        <f t="shared" si="0"/>
        <v/>
      </c>
      <c r="N21" s="5" t="s">
        <v>2841</v>
      </c>
      <c r="O21" s="5" t="s">
        <v>2842</v>
      </c>
      <c r="P21" s="5" t="s">
        <v>3386</v>
      </c>
      <c r="Q21" s="5" t="s">
        <v>55</v>
      </c>
    </row>
    <row r="22" spans="1:17">
      <c r="A22" s="9">
        <v>46178</v>
      </c>
      <c r="B22" s="5" t="s">
        <v>111</v>
      </c>
      <c r="C22" s="5" t="s">
        <v>112</v>
      </c>
      <c r="D22" s="5" t="s">
        <v>3385</v>
      </c>
      <c r="E22" s="5" t="s">
        <v>2320</v>
      </c>
      <c r="F22" s="5">
        <f t="shared" si="1"/>
        <v>29</v>
      </c>
      <c r="G22" s="5" t="s">
        <v>19</v>
      </c>
      <c r="H22" s="5" t="s">
        <v>45</v>
      </c>
      <c r="I22" s="5" t="s">
        <v>28</v>
      </c>
      <c r="J22" s="5" t="s">
        <v>28</v>
      </c>
      <c r="K22" s="5">
        <f t="shared" si="2"/>
        <v>4</v>
      </c>
      <c r="L22" s="5">
        <f t="shared" si="3"/>
        <v>4</v>
      </c>
      <c r="M22" s="5" t="str">
        <f t="shared" si="0"/>
        <v/>
      </c>
      <c r="N22" s="5" t="s">
        <v>3432</v>
      </c>
      <c r="O22" s="5" t="s">
        <v>130</v>
      </c>
      <c r="P22" s="5"/>
      <c r="Q22" s="5"/>
    </row>
    <row r="23" spans="1:17">
      <c r="A23" s="9">
        <v>46178</v>
      </c>
      <c r="B23" s="5" t="s">
        <v>81</v>
      </c>
      <c r="C23" s="5" t="s">
        <v>82</v>
      </c>
      <c r="D23" s="5" t="s">
        <v>95</v>
      </c>
      <c r="E23" s="5" t="s">
        <v>2321</v>
      </c>
      <c r="F23" s="5">
        <f t="shared" si="1"/>
        <v>22</v>
      </c>
      <c r="G23" s="5" t="s">
        <v>19</v>
      </c>
      <c r="H23" s="5" t="s">
        <v>20</v>
      </c>
      <c r="I23" s="5" t="s">
        <v>21</v>
      </c>
      <c r="J23" s="5" t="s">
        <v>21</v>
      </c>
      <c r="K23" s="5">
        <f t="shared" si="2"/>
        <v>3</v>
      </c>
      <c r="L23" s="5">
        <f t="shared" si="3"/>
        <v>3</v>
      </c>
      <c r="M23" s="5" t="str">
        <f t="shared" si="0"/>
        <v/>
      </c>
      <c r="N23" s="5" t="s">
        <v>3433</v>
      </c>
      <c r="O23" s="5" t="s">
        <v>133</v>
      </c>
      <c r="P23" s="5" t="s">
        <v>2843</v>
      </c>
      <c r="Q23" s="5" t="s">
        <v>2844</v>
      </c>
    </row>
    <row r="24" spans="1:17">
      <c r="A24" s="9">
        <v>46178</v>
      </c>
      <c r="B24" s="5" t="s">
        <v>81</v>
      </c>
      <c r="C24" s="5" t="s">
        <v>50</v>
      </c>
      <c r="D24" s="5" t="s">
        <v>3387</v>
      </c>
      <c r="E24" s="5" t="s">
        <v>2322</v>
      </c>
      <c r="F24" s="5">
        <f t="shared" si="1"/>
        <v>19</v>
      </c>
      <c r="G24" s="5" t="s">
        <v>19</v>
      </c>
      <c r="H24" s="5" t="s">
        <v>20</v>
      </c>
      <c r="I24" s="5" t="s">
        <v>28</v>
      </c>
      <c r="J24" s="5" t="s">
        <v>28</v>
      </c>
      <c r="K24" s="5">
        <f t="shared" si="2"/>
        <v>4</v>
      </c>
      <c r="L24" s="5">
        <f t="shared" si="3"/>
        <v>4</v>
      </c>
      <c r="M24" s="5" t="str">
        <f t="shared" si="0"/>
        <v/>
      </c>
      <c r="N24" s="5" t="s">
        <v>3434</v>
      </c>
      <c r="O24" s="5" t="s">
        <v>3435</v>
      </c>
      <c r="P24" s="5" t="s">
        <v>140</v>
      </c>
      <c r="Q24" s="5" t="s">
        <v>141</v>
      </c>
    </row>
    <row r="25" spans="1:17">
      <c r="A25" s="9">
        <v>46178</v>
      </c>
      <c r="B25" s="5" t="s">
        <v>111</v>
      </c>
      <c r="C25" s="5" t="s">
        <v>112</v>
      </c>
      <c r="D25" s="5" t="s">
        <v>3385</v>
      </c>
      <c r="E25" s="5" t="s">
        <v>2323</v>
      </c>
      <c r="F25" s="5">
        <f t="shared" si="1"/>
        <v>34</v>
      </c>
      <c r="G25" s="5" t="s">
        <v>19</v>
      </c>
      <c r="H25" s="5" t="s">
        <v>20</v>
      </c>
      <c r="I25" s="5" t="s">
        <v>28</v>
      </c>
      <c r="J25" s="5" t="s">
        <v>28</v>
      </c>
      <c r="K25" s="5">
        <f t="shared" si="2"/>
        <v>4</v>
      </c>
      <c r="L25" s="5">
        <f t="shared" si="3"/>
        <v>4</v>
      </c>
      <c r="M25" s="5" t="str">
        <f t="shared" si="0"/>
        <v/>
      </c>
      <c r="N25" s="5" t="s">
        <v>143</v>
      </c>
      <c r="O25" s="5"/>
      <c r="P25" s="5" t="s">
        <v>144</v>
      </c>
      <c r="Q25" s="5"/>
    </row>
    <row r="26" spans="1:17">
      <c r="A26" s="9">
        <v>46178</v>
      </c>
      <c r="B26" s="5" t="s">
        <v>111</v>
      </c>
      <c r="C26" s="5" t="s">
        <v>112</v>
      </c>
      <c r="D26" s="5" t="s">
        <v>3388</v>
      </c>
      <c r="E26" s="5" t="s">
        <v>2324</v>
      </c>
      <c r="F26" s="5">
        <f t="shared" si="1"/>
        <v>20</v>
      </c>
      <c r="G26" s="5" t="s">
        <v>19</v>
      </c>
      <c r="H26" s="5" t="s">
        <v>20</v>
      </c>
      <c r="I26" s="5" t="s">
        <v>21</v>
      </c>
      <c r="J26" s="5" t="s">
        <v>21</v>
      </c>
      <c r="K26" s="5">
        <f t="shared" si="2"/>
        <v>3</v>
      </c>
      <c r="L26" s="5">
        <f t="shared" si="3"/>
        <v>3</v>
      </c>
      <c r="M26" s="5" t="str">
        <f t="shared" si="0"/>
        <v/>
      </c>
      <c r="N26" s="5" t="s">
        <v>147</v>
      </c>
      <c r="O26" s="5" t="s">
        <v>148</v>
      </c>
      <c r="P26" s="5" t="s">
        <v>149</v>
      </c>
      <c r="Q26" s="5"/>
    </row>
    <row r="27" spans="1:17">
      <c r="A27" s="9">
        <v>46178</v>
      </c>
      <c r="B27" s="5" t="s">
        <v>150</v>
      </c>
      <c r="C27" s="5" t="s">
        <v>3389</v>
      </c>
      <c r="D27" s="5" t="s">
        <v>150</v>
      </c>
      <c r="E27" s="5" t="s">
        <v>2325</v>
      </c>
      <c r="F27" s="5">
        <f t="shared" si="1"/>
        <v>33</v>
      </c>
      <c r="G27" s="5" t="s">
        <v>19</v>
      </c>
      <c r="H27" s="5" t="s">
        <v>45</v>
      </c>
      <c r="I27" s="5" t="s">
        <v>28</v>
      </c>
      <c r="J27" s="5" t="s">
        <v>28</v>
      </c>
      <c r="K27" s="5">
        <f t="shared" si="2"/>
        <v>4</v>
      </c>
      <c r="L27" s="5">
        <f t="shared" si="3"/>
        <v>4</v>
      </c>
      <c r="M27" s="5" t="str">
        <f t="shared" si="0"/>
        <v/>
      </c>
      <c r="N27" s="5" t="s">
        <v>3436</v>
      </c>
      <c r="O27" s="5" t="s">
        <v>3437</v>
      </c>
      <c r="P27" s="5" t="s">
        <v>3438</v>
      </c>
      <c r="Q27" s="5"/>
    </row>
    <row r="28" spans="1:17">
      <c r="A28" s="9">
        <v>46178</v>
      </c>
      <c r="B28" s="5" t="s">
        <v>15</v>
      </c>
      <c r="C28" s="5" t="s">
        <v>33</v>
      </c>
      <c r="D28" s="5" t="s">
        <v>34</v>
      </c>
      <c r="E28" s="5" t="s">
        <v>2326</v>
      </c>
      <c r="F28" s="5">
        <f t="shared" si="1"/>
        <v>37</v>
      </c>
      <c r="G28" s="5" t="s">
        <v>19</v>
      </c>
      <c r="H28" s="5" t="s">
        <v>20</v>
      </c>
      <c r="I28" s="5" t="s">
        <v>21</v>
      </c>
      <c r="J28" s="5" t="s">
        <v>21</v>
      </c>
      <c r="K28" s="5">
        <f t="shared" si="2"/>
        <v>3</v>
      </c>
      <c r="L28" s="5">
        <f t="shared" si="3"/>
        <v>3</v>
      </c>
      <c r="M28" s="5" t="str">
        <f t="shared" si="0"/>
        <v/>
      </c>
      <c r="N28" s="5" t="s">
        <v>2845</v>
      </c>
      <c r="O28" s="5" t="s">
        <v>2846</v>
      </c>
      <c r="P28" s="5" t="s">
        <v>2847</v>
      </c>
      <c r="Q28" s="5" t="s">
        <v>3439</v>
      </c>
    </row>
    <row r="29" spans="1:17">
      <c r="A29" s="9">
        <v>46178</v>
      </c>
      <c r="B29" s="5" t="s">
        <v>111</v>
      </c>
      <c r="C29" s="5" t="s">
        <v>112</v>
      </c>
      <c r="D29" s="5" t="s">
        <v>3385</v>
      </c>
      <c r="E29" s="5" t="s">
        <v>2327</v>
      </c>
      <c r="F29" s="5">
        <f t="shared" si="1"/>
        <v>21</v>
      </c>
      <c r="G29" s="5" t="s">
        <v>19</v>
      </c>
      <c r="H29" s="5" t="s">
        <v>45</v>
      </c>
      <c r="I29" s="5" t="s">
        <v>28</v>
      </c>
      <c r="J29" s="5" t="s">
        <v>28</v>
      </c>
      <c r="K29" s="5">
        <f t="shared" si="2"/>
        <v>4</v>
      </c>
      <c r="L29" s="5">
        <f t="shared" si="3"/>
        <v>4</v>
      </c>
      <c r="M29" s="5" t="str">
        <f t="shared" si="0"/>
        <v/>
      </c>
      <c r="N29" s="5" t="s">
        <v>2848</v>
      </c>
      <c r="O29" s="5"/>
      <c r="P29" s="5" t="s">
        <v>163</v>
      </c>
      <c r="Q29" s="5" t="s">
        <v>164</v>
      </c>
    </row>
    <row r="30" spans="1:17">
      <c r="A30" s="9">
        <v>46178</v>
      </c>
      <c r="B30" s="5" t="s">
        <v>15</v>
      </c>
      <c r="C30" s="5" t="s">
        <v>16</v>
      </c>
      <c r="D30" s="5" t="s">
        <v>17</v>
      </c>
      <c r="E30" s="5" t="s">
        <v>2328</v>
      </c>
      <c r="F30" s="5">
        <f t="shared" si="1"/>
        <v>22</v>
      </c>
      <c r="G30" s="5" t="s">
        <v>19</v>
      </c>
      <c r="H30" s="5" t="s">
        <v>45</v>
      </c>
      <c r="I30" s="5" t="s">
        <v>28</v>
      </c>
      <c r="J30" s="5" t="s">
        <v>21</v>
      </c>
      <c r="K30" s="5">
        <f t="shared" si="2"/>
        <v>4</v>
      </c>
      <c r="L30" s="5">
        <f t="shared" si="3"/>
        <v>3</v>
      </c>
      <c r="M30" s="5" t="str">
        <f t="shared" si="0"/>
        <v/>
      </c>
      <c r="N30" s="5" t="s">
        <v>2849</v>
      </c>
      <c r="O30" s="5" t="s">
        <v>167</v>
      </c>
      <c r="P30" s="5" t="s">
        <v>3440</v>
      </c>
      <c r="Q30" s="5"/>
    </row>
    <row r="31" spans="1:17">
      <c r="A31" s="9">
        <v>46178</v>
      </c>
      <c r="B31" s="5" t="s">
        <v>25</v>
      </c>
      <c r="C31" s="5" t="s">
        <v>3380</v>
      </c>
      <c r="D31" s="5" t="s">
        <v>25</v>
      </c>
      <c r="E31" s="5" t="s">
        <v>2329</v>
      </c>
      <c r="F31" s="5">
        <f t="shared" si="1"/>
        <v>33</v>
      </c>
      <c r="G31" s="5" t="s">
        <v>19</v>
      </c>
      <c r="H31" s="5" t="s">
        <v>45</v>
      </c>
      <c r="I31" s="5" t="s">
        <v>28</v>
      </c>
      <c r="J31" s="5" t="s">
        <v>28</v>
      </c>
      <c r="K31" s="5">
        <f t="shared" si="2"/>
        <v>4</v>
      </c>
      <c r="L31" s="5">
        <f t="shared" si="3"/>
        <v>4</v>
      </c>
      <c r="M31" s="5" t="str">
        <f t="shared" si="0"/>
        <v/>
      </c>
      <c r="N31" s="5" t="s">
        <v>2850</v>
      </c>
      <c r="O31" s="5" t="s">
        <v>2851</v>
      </c>
      <c r="P31" s="5" t="s">
        <v>2852</v>
      </c>
      <c r="Q31" s="5" t="s">
        <v>2853</v>
      </c>
    </row>
    <row r="32" spans="1:17">
      <c r="A32" s="9">
        <v>46178</v>
      </c>
      <c r="B32" s="5" t="s">
        <v>111</v>
      </c>
      <c r="C32" s="5" t="s">
        <v>112</v>
      </c>
      <c r="D32" s="5" t="s">
        <v>3385</v>
      </c>
      <c r="E32" s="5" t="s">
        <v>2330</v>
      </c>
      <c r="F32" s="5">
        <f t="shared" si="1"/>
        <v>22</v>
      </c>
      <c r="G32" s="5" t="s">
        <v>19</v>
      </c>
      <c r="H32" s="5" t="s">
        <v>45</v>
      </c>
      <c r="I32" s="5" t="s">
        <v>21</v>
      </c>
      <c r="J32" s="5" t="s">
        <v>21</v>
      </c>
      <c r="K32" s="5">
        <f t="shared" si="2"/>
        <v>3</v>
      </c>
      <c r="L32" s="5">
        <f t="shared" si="3"/>
        <v>3</v>
      </c>
      <c r="M32" s="5" t="str">
        <f t="shared" si="0"/>
        <v/>
      </c>
      <c r="N32" s="5" t="s">
        <v>175</v>
      </c>
      <c r="O32" s="5" t="s">
        <v>2854</v>
      </c>
      <c r="P32" s="5"/>
      <c r="Q32" s="5"/>
    </row>
    <row r="33" spans="1:17">
      <c r="A33" s="9">
        <v>46178</v>
      </c>
      <c r="B33" s="5" t="s">
        <v>15</v>
      </c>
      <c r="C33" s="5" t="s">
        <v>16</v>
      </c>
      <c r="D33" s="5" t="s">
        <v>177</v>
      </c>
      <c r="E33" s="5" t="s">
        <v>2331</v>
      </c>
      <c r="F33" s="5">
        <f t="shared" si="1"/>
        <v>33</v>
      </c>
      <c r="G33" s="5" t="s">
        <v>19</v>
      </c>
      <c r="H33" s="5" t="s">
        <v>20</v>
      </c>
      <c r="I33" s="5" t="s">
        <v>28</v>
      </c>
      <c r="J33" s="5" t="s">
        <v>28</v>
      </c>
      <c r="K33" s="5">
        <f t="shared" si="2"/>
        <v>4</v>
      </c>
      <c r="L33" s="5">
        <f t="shared" si="3"/>
        <v>4</v>
      </c>
      <c r="M33" s="5" t="str">
        <f t="shared" si="0"/>
        <v/>
      </c>
      <c r="N33" s="5" t="s">
        <v>3441</v>
      </c>
      <c r="O33" s="5"/>
      <c r="P33" s="5"/>
      <c r="Q33" s="5" t="s">
        <v>123</v>
      </c>
    </row>
    <row r="34" spans="1:17">
      <c r="A34" s="9">
        <v>46178</v>
      </c>
      <c r="B34" s="5" t="s">
        <v>81</v>
      </c>
      <c r="C34" s="4" t="s">
        <v>50</v>
      </c>
      <c r="D34" s="4" t="s">
        <v>3640</v>
      </c>
      <c r="E34" s="5" t="s">
        <v>2322</v>
      </c>
      <c r="F34" s="5">
        <f t="shared" si="1"/>
        <v>19</v>
      </c>
      <c r="G34" s="5" t="s">
        <v>19</v>
      </c>
      <c r="H34" s="5" t="s">
        <v>20</v>
      </c>
      <c r="I34" s="5" t="s">
        <v>28</v>
      </c>
      <c r="J34" s="5" t="s">
        <v>28</v>
      </c>
      <c r="K34" s="5">
        <f t="shared" si="2"/>
        <v>4</v>
      </c>
      <c r="L34" s="5">
        <f t="shared" si="3"/>
        <v>4</v>
      </c>
      <c r="M34" s="5" t="str">
        <f t="shared" si="0"/>
        <v/>
      </c>
      <c r="N34" s="5" t="s">
        <v>2855</v>
      </c>
      <c r="O34" s="5" t="s">
        <v>3442</v>
      </c>
      <c r="P34" s="5" t="s">
        <v>183</v>
      </c>
      <c r="Q34" s="5" t="s">
        <v>184</v>
      </c>
    </row>
    <row r="35" spans="1:17">
      <c r="A35" s="9">
        <v>46178</v>
      </c>
      <c r="B35" s="5" t="s">
        <v>81</v>
      </c>
      <c r="C35" s="5" t="s">
        <v>82</v>
      </c>
      <c r="D35" s="5" t="s">
        <v>95</v>
      </c>
      <c r="E35" s="5" t="s">
        <v>2332</v>
      </c>
      <c r="F35" s="5">
        <f t="shared" si="1"/>
        <v>35</v>
      </c>
      <c r="G35" s="5" t="s">
        <v>19</v>
      </c>
      <c r="H35" s="5" t="s">
        <v>20</v>
      </c>
      <c r="I35" s="5" t="s">
        <v>186</v>
      </c>
      <c r="J35" s="5" t="s">
        <v>186</v>
      </c>
      <c r="K35" s="5">
        <f t="shared" si="2"/>
        <v>2</v>
      </c>
      <c r="L35" s="5">
        <f t="shared" si="3"/>
        <v>2</v>
      </c>
      <c r="M35" s="5" t="str">
        <f t="shared" si="0"/>
        <v>YES</v>
      </c>
      <c r="N35" s="5" t="s">
        <v>2856</v>
      </c>
      <c r="O35" s="5" t="s">
        <v>3443</v>
      </c>
      <c r="P35" s="5" t="s">
        <v>3444</v>
      </c>
      <c r="Q35" s="5" t="s">
        <v>2820</v>
      </c>
    </row>
    <row r="36" spans="1:17">
      <c r="A36" s="9">
        <v>46178</v>
      </c>
      <c r="B36" s="5" t="s">
        <v>81</v>
      </c>
      <c r="C36" s="5" t="s">
        <v>50</v>
      </c>
      <c r="D36" s="4" t="s">
        <v>3640</v>
      </c>
      <c r="E36" s="5" t="s">
        <v>2333</v>
      </c>
      <c r="F36" s="5">
        <f t="shared" si="1"/>
        <v>25</v>
      </c>
      <c r="G36" s="5" t="s">
        <v>19</v>
      </c>
      <c r="H36" s="5" t="s">
        <v>20</v>
      </c>
      <c r="I36" s="5" t="s">
        <v>28</v>
      </c>
      <c r="J36" s="5" t="s">
        <v>28</v>
      </c>
      <c r="K36" s="5">
        <f t="shared" si="2"/>
        <v>4</v>
      </c>
      <c r="L36" s="5">
        <f t="shared" si="3"/>
        <v>4</v>
      </c>
      <c r="M36" s="5" t="str">
        <f t="shared" si="0"/>
        <v/>
      </c>
      <c r="N36" s="5" t="s">
        <v>2857</v>
      </c>
      <c r="O36" s="5" t="s">
        <v>2858</v>
      </c>
      <c r="P36" s="5" t="s">
        <v>2859</v>
      </c>
      <c r="Q36" s="5" t="s">
        <v>2860</v>
      </c>
    </row>
    <row r="37" spans="1:17">
      <c r="A37" s="9">
        <v>46178</v>
      </c>
      <c r="B37" s="5" t="s">
        <v>81</v>
      </c>
      <c r="C37" s="5" t="s">
        <v>50</v>
      </c>
      <c r="D37" s="4" t="s">
        <v>3641</v>
      </c>
      <c r="E37" s="5" t="s">
        <v>2861</v>
      </c>
      <c r="F37" s="5">
        <f t="shared" si="1"/>
        <v>30</v>
      </c>
      <c r="G37" s="5" t="s">
        <v>19</v>
      </c>
      <c r="H37" s="5" t="s">
        <v>20</v>
      </c>
      <c r="I37" s="5" t="s">
        <v>186</v>
      </c>
      <c r="J37" s="5" t="s">
        <v>21</v>
      </c>
      <c r="K37" s="5">
        <f t="shared" si="2"/>
        <v>2</v>
      </c>
      <c r="L37" s="5">
        <f t="shared" si="3"/>
        <v>3</v>
      </c>
      <c r="M37" s="5" t="str">
        <f t="shared" si="0"/>
        <v>YES</v>
      </c>
      <c r="N37" s="5" t="s">
        <v>2862</v>
      </c>
      <c r="O37" s="5" t="s">
        <v>3445</v>
      </c>
      <c r="P37" s="5" t="s">
        <v>3445</v>
      </c>
      <c r="Q37" s="5"/>
    </row>
    <row r="38" spans="1:17">
      <c r="A38" s="9">
        <v>46178</v>
      </c>
      <c r="B38" s="5" t="s">
        <v>81</v>
      </c>
      <c r="C38" s="5" t="s">
        <v>82</v>
      </c>
      <c r="D38" s="5" t="s">
        <v>95</v>
      </c>
      <c r="E38" s="5" t="s">
        <v>2334</v>
      </c>
      <c r="F38" s="5">
        <f t="shared" si="1"/>
        <v>19</v>
      </c>
      <c r="G38" s="5" t="s">
        <v>19</v>
      </c>
      <c r="H38" s="5" t="s">
        <v>20</v>
      </c>
      <c r="I38" s="5" t="s">
        <v>21</v>
      </c>
      <c r="J38" s="5" t="s">
        <v>21</v>
      </c>
      <c r="K38" s="5">
        <f t="shared" si="2"/>
        <v>3</v>
      </c>
      <c r="L38" s="5">
        <f t="shared" si="3"/>
        <v>3</v>
      </c>
      <c r="M38" s="5" t="str">
        <f t="shared" si="0"/>
        <v/>
      </c>
      <c r="N38" s="5" t="s">
        <v>201</v>
      </c>
      <c r="O38" s="5" t="s">
        <v>202</v>
      </c>
      <c r="P38" s="5"/>
      <c r="Q38" s="5"/>
    </row>
    <row r="39" spans="1:17">
      <c r="A39" s="9">
        <v>46178</v>
      </c>
      <c r="B39" s="5" t="s">
        <v>15</v>
      </c>
      <c r="C39" s="5" t="s">
        <v>16</v>
      </c>
      <c r="D39" s="5" t="s">
        <v>105</v>
      </c>
      <c r="E39" s="5" t="s">
        <v>2335</v>
      </c>
      <c r="F39" s="5">
        <f t="shared" si="1"/>
        <v>23</v>
      </c>
      <c r="G39" s="5" t="s">
        <v>19</v>
      </c>
      <c r="H39" s="5" t="s">
        <v>20</v>
      </c>
      <c r="I39" s="5" t="s">
        <v>28</v>
      </c>
      <c r="J39" s="5" t="s">
        <v>28</v>
      </c>
      <c r="K39" s="5">
        <f t="shared" si="2"/>
        <v>4</v>
      </c>
      <c r="L39" s="5">
        <f t="shared" si="3"/>
        <v>4</v>
      </c>
      <c r="M39" s="5" t="str">
        <f t="shared" si="0"/>
        <v/>
      </c>
      <c r="N39" s="5" t="s">
        <v>204</v>
      </c>
      <c r="O39" s="5" t="s">
        <v>205</v>
      </c>
      <c r="P39" s="5" t="s">
        <v>206</v>
      </c>
      <c r="Q39" s="5"/>
    </row>
    <row r="40" spans="1:17">
      <c r="A40" s="9">
        <v>46178</v>
      </c>
      <c r="B40" s="5" t="s">
        <v>25</v>
      </c>
      <c r="C40" s="5" t="s">
        <v>3380</v>
      </c>
      <c r="D40" s="5" t="s">
        <v>25</v>
      </c>
      <c r="E40" s="5" t="s">
        <v>2336</v>
      </c>
      <c r="F40" s="5">
        <f t="shared" si="1"/>
        <v>27</v>
      </c>
      <c r="G40" s="5" t="s">
        <v>19</v>
      </c>
      <c r="H40" s="5" t="s">
        <v>20</v>
      </c>
      <c r="I40" s="5" t="s">
        <v>21</v>
      </c>
      <c r="J40" s="5" t="s">
        <v>21</v>
      </c>
      <c r="K40" s="5">
        <f t="shared" si="2"/>
        <v>3</v>
      </c>
      <c r="L40" s="5">
        <f t="shared" si="3"/>
        <v>3</v>
      </c>
      <c r="M40" s="5" t="str">
        <f t="shared" si="0"/>
        <v/>
      </c>
      <c r="N40" s="5" t="s">
        <v>208</v>
      </c>
      <c r="O40" s="5" t="s">
        <v>2863</v>
      </c>
      <c r="P40" s="5" t="s">
        <v>210</v>
      </c>
      <c r="Q40" s="5" t="s">
        <v>2864</v>
      </c>
    </row>
    <row r="41" spans="1:17">
      <c r="A41" s="9">
        <v>46178</v>
      </c>
      <c r="B41" s="5" t="s">
        <v>81</v>
      </c>
      <c r="C41" s="5" t="s">
        <v>50</v>
      </c>
      <c r="D41" s="4" t="s">
        <v>3640</v>
      </c>
      <c r="E41" s="5" t="s">
        <v>2337</v>
      </c>
      <c r="F41" s="5">
        <f t="shared" si="1"/>
        <v>27</v>
      </c>
      <c r="G41" s="5" t="s">
        <v>19</v>
      </c>
      <c r="H41" s="5" t="s">
        <v>20</v>
      </c>
      <c r="I41" s="5" t="s">
        <v>21</v>
      </c>
      <c r="J41" s="5" t="s">
        <v>21</v>
      </c>
      <c r="K41" s="5">
        <f t="shared" si="2"/>
        <v>3</v>
      </c>
      <c r="L41" s="5">
        <f t="shared" si="3"/>
        <v>3</v>
      </c>
      <c r="M41" s="5" t="str">
        <f t="shared" si="0"/>
        <v/>
      </c>
      <c r="N41" s="5" t="s">
        <v>213</v>
      </c>
      <c r="O41" s="5" t="s">
        <v>3446</v>
      </c>
      <c r="P41" s="5" t="s">
        <v>2767</v>
      </c>
      <c r="Q41" s="5" t="s">
        <v>216</v>
      </c>
    </row>
    <row r="42" spans="1:17">
      <c r="A42" s="9">
        <v>46178</v>
      </c>
      <c r="B42" s="5" t="s">
        <v>81</v>
      </c>
      <c r="C42" s="5" t="s">
        <v>82</v>
      </c>
      <c r="D42" s="5" t="s">
        <v>83</v>
      </c>
      <c r="E42" s="5" t="s">
        <v>2338</v>
      </c>
      <c r="F42" s="5">
        <f t="shared" si="1"/>
        <v>18</v>
      </c>
      <c r="G42" s="5" t="s">
        <v>19</v>
      </c>
      <c r="H42" s="5" t="s">
        <v>20</v>
      </c>
      <c r="I42" s="5" t="s">
        <v>28</v>
      </c>
      <c r="J42" s="5" t="s">
        <v>28</v>
      </c>
      <c r="K42" s="5">
        <f t="shared" si="2"/>
        <v>4</v>
      </c>
      <c r="L42" s="5">
        <f t="shared" si="3"/>
        <v>4</v>
      </c>
      <c r="M42" s="5" t="str">
        <f t="shared" si="0"/>
        <v/>
      </c>
      <c r="N42" s="5" t="s">
        <v>2865</v>
      </c>
      <c r="O42" s="5" t="s">
        <v>3447</v>
      </c>
      <c r="P42" s="5" t="s">
        <v>2866</v>
      </c>
      <c r="Q42" s="5" t="s">
        <v>2867</v>
      </c>
    </row>
    <row r="43" spans="1:17">
      <c r="A43" s="9">
        <v>46178</v>
      </c>
      <c r="B43" s="5" t="s">
        <v>72</v>
      </c>
      <c r="C43" s="5" t="s">
        <v>3384</v>
      </c>
      <c r="D43" s="5" t="s">
        <v>72</v>
      </c>
      <c r="E43" s="5" t="s">
        <v>2339</v>
      </c>
      <c r="F43" s="5">
        <f t="shared" si="1"/>
        <v>18</v>
      </c>
      <c r="G43" s="5" t="s">
        <v>19</v>
      </c>
      <c r="H43" s="5" t="s">
        <v>45</v>
      </c>
      <c r="I43" s="5" t="s">
        <v>28</v>
      </c>
      <c r="J43" s="5" t="s">
        <v>28</v>
      </c>
      <c r="K43" s="5">
        <f t="shared" si="2"/>
        <v>4</v>
      </c>
      <c r="L43" s="5">
        <f t="shared" si="3"/>
        <v>4</v>
      </c>
      <c r="M43" s="5" t="str">
        <f t="shared" si="0"/>
        <v/>
      </c>
      <c r="N43" s="5" t="s">
        <v>2868</v>
      </c>
      <c r="O43" s="5"/>
      <c r="P43" s="5"/>
      <c r="Q43" s="5"/>
    </row>
    <row r="44" spans="1:17">
      <c r="A44" s="9">
        <v>46178</v>
      </c>
      <c r="B44" s="5" t="s">
        <v>15</v>
      </c>
      <c r="C44" s="5" t="s">
        <v>39</v>
      </c>
      <c r="D44" s="5" t="s">
        <v>15</v>
      </c>
      <c r="E44" s="5" t="s">
        <v>2869</v>
      </c>
      <c r="F44" s="5">
        <f t="shared" si="1"/>
        <v>29</v>
      </c>
      <c r="G44" s="5" t="s">
        <v>19</v>
      </c>
      <c r="H44" s="5" t="s">
        <v>20</v>
      </c>
      <c r="I44" s="5" t="s">
        <v>28</v>
      </c>
      <c r="J44" s="5" t="s">
        <v>28</v>
      </c>
      <c r="K44" s="5">
        <f t="shared" si="2"/>
        <v>4</v>
      </c>
      <c r="L44" s="5">
        <f t="shared" si="3"/>
        <v>4</v>
      </c>
      <c r="M44" s="5" t="str">
        <f t="shared" si="0"/>
        <v/>
      </c>
      <c r="N44" s="5" t="s">
        <v>225</v>
      </c>
      <c r="O44" s="5" t="s">
        <v>2821</v>
      </c>
      <c r="P44" s="5" t="s">
        <v>2821</v>
      </c>
      <c r="Q44" s="5"/>
    </row>
    <row r="45" spans="1:17">
      <c r="A45" s="9">
        <v>46178</v>
      </c>
      <c r="B45" s="5" t="s">
        <v>150</v>
      </c>
      <c r="C45" s="5" t="s">
        <v>3389</v>
      </c>
      <c r="D45" s="5" t="s">
        <v>150</v>
      </c>
      <c r="E45" s="5" t="s">
        <v>2870</v>
      </c>
      <c r="F45" s="5">
        <f t="shared" si="1"/>
        <v>49</v>
      </c>
      <c r="G45" s="5" t="s">
        <v>19</v>
      </c>
      <c r="H45" s="5" t="s">
        <v>45</v>
      </c>
      <c r="I45" s="5" t="s">
        <v>21</v>
      </c>
      <c r="J45" s="5" t="s">
        <v>28</v>
      </c>
      <c r="K45" s="5">
        <f t="shared" si="2"/>
        <v>3</v>
      </c>
      <c r="L45" s="5">
        <f t="shared" si="3"/>
        <v>4</v>
      </c>
      <c r="M45" s="5" t="str">
        <f t="shared" si="0"/>
        <v/>
      </c>
      <c r="N45" s="5" t="s">
        <v>2871</v>
      </c>
      <c r="O45" s="5" t="s">
        <v>3448</v>
      </c>
      <c r="P45" s="5" t="s">
        <v>230</v>
      </c>
      <c r="Q45" s="5"/>
    </row>
    <row r="46" spans="1:17">
      <c r="A46" s="9">
        <v>46178</v>
      </c>
      <c r="B46" s="5" t="s">
        <v>111</v>
      </c>
      <c r="C46" s="5" t="s">
        <v>112</v>
      </c>
      <c r="D46" s="5" t="s">
        <v>3385</v>
      </c>
      <c r="E46" s="5" t="s">
        <v>2340</v>
      </c>
      <c r="F46" s="5">
        <f t="shared" si="1"/>
        <v>24</v>
      </c>
      <c r="G46" s="5" t="s">
        <v>19</v>
      </c>
      <c r="H46" s="5" t="s">
        <v>20</v>
      </c>
      <c r="I46" s="5" t="s">
        <v>21</v>
      </c>
      <c r="J46" s="5" t="s">
        <v>28</v>
      </c>
      <c r="K46" s="5">
        <f t="shared" si="2"/>
        <v>3</v>
      </c>
      <c r="L46" s="5">
        <f t="shared" si="3"/>
        <v>4</v>
      </c>
      <c r="M46" s="5" t="str">
        <f t="shared" si="0"/>
        <v/>
      </c>
      <c r="N46" s="5" t="s">
        <v>2872</v>
      </c>
      <c r="O46" s="5" t="s">
        <v>2873</v>
      </c>
      <c r="P46" s="5" t="s">
        <v>2874</v>
      </c>
      <c r="Q46" s="5"/>
    </row>
    <row r="47" spans="1:17">
      <c r="A47" s="9">
        <v>46178</v>
      </c>
      <c r="B47" s="5" t="s">
        <v>25</v>
      </c>
      <c r="C47" s="5" t="s">
        <v>3380</v>
      </c>
      <c r="D47" s="5" t="s">
        <v>25</v>
      </c>
      <c r="E47" s="5" t="s">
        <v>3449</v>
      </c>
      <c r="F47" s="5">
        <f t="shared" si="1"/>
        <v>39</v>
      </c>
      <c r="G47" s="5" t="s">
        <v>19</v>
      </c>
      <c r="H47" s="5" t="s">
        <v>45</v>
      </c>
      <c r="I47" s="5" t="s">
        <v>21</v>
      </c>
      <c r="J47" s="5" t="s">
        <v>28</v>
      </c>
      <c r="K47" s="5">
        <f t="shared" si="2"/>
        <v>3</v>
      </c>
      <c r="L47" s="5">
        <f t="shared" si="3"/>
        <v>4</v>
      </c>
      <c r="M47" s="5" t="str">
        <f t="shared" si="0"/>
        <v/>
      </c>
      <c r="N47" s="5" t="s">
        <v>2875</v>
      </c>
      <c r="O47" s="5" t="s">
        <v>2876</v>
      </c>
      <c r="P47" s="5" t="s">
        <v>238</v>
      </c>
      <c r="Q47" s="5"/>
    </row>
    <row r="48" spans="1:17">
      <c r="A48" s="9">
        <v>46178</v>
      </c>
      <c r="B48" s="5" t="s">
        <v>15</v>
      </c>
      <c r="C48" s="5" t="s">
        <v>39</v>
      </c>
      <c r="D48" s="5" t="s">
        <v>3382</v>
      </c>
      <c r="E48" s="5" t="s">
        <v>2341</v>
      </c>
      <c r="F48" s="5">
        <f t="shared" si="1"/>
        <v>30</v>
      </c>
      <c r="G48" s="5" t="s">
        <v>19</v>
      </c>
      <c r="H48" s="5" t="s">
        <v>45</v>
      </c>
      <c r="I48" s="5" t="s">
        <v>21</v>
      </c>
      <c r="J48" s="5" t="s">
        <v>28</v>
      </c>
      <c r="K48" s="5">
        <f t="shared" si="2"/>
        <v>3</v>
      </c>
      <c r="L48" s="5">
        <f t="shared" si="3"/>
        <v>4</v>
      </c>
      <c r="M48" s="5" t="str">
        <f t="shared" si="0"/>
        <v/>
      </c>
      <c r="N48" s="5" t="s">
        <v>2877</v>
      </c>
      <c r="O48" s="5"/>
      <c r="P48" s="5" t="s">
        <v>2878</v>
      </c>
      <c r="Q48" s="5"/>
    </row>
    <row r="49" spans="1:17">
      <c r="A49" s="9">
        <v>46178</v>
      </c>
      <c r="B49" s="5" t="s">
        <v>15</v>
      </c>
      <c r="C49" s="5" t="s">
        <v>33</v>
      </c>
      <c r="D49" s="5" t="s">
        <v>34</v>
      </c>
      <c r="E49" s="5" t="s">
        <v>2342</v>
      </c>
      <c r="F49" s="5">
        <f t="shared" si="1"/>
        <v>35</v>
      </c>
      <c r="G49" s="5" t="s">
        <v>19</v>
      </c>
      <c r="H49" s="5" t="s">
        <v>20</v>
      </c>
      <c r="I49" s="5" t="s">
        <v>28</v>
      </c>
      <c r="J49" s="5" t="s">
        <v>28</v>
      </c>
      <c r="K49" s="5">
        <f t="shared" si="2"/>
        <v>4</v>
      </c>
      <c r="L49" s="5">
        <f t="shared" si="3"/>
        <v>4</v>
      </c>
      <c r="M49" s="5" t="str">
        <f t="shared" si="0"/>
        <v/>
      </c>
      <c r="N49" s="5" t="s">
        <v>2879</v>
      </c>
      <c r="O49" s="5" t="s">
        <v>2880</v>
      </c>
      <c r="P49" s="5" t="s">
        <v>2881</v>
      </c>
      <c r="Q49" s="5"/>
    </row>
    <row r="50" spans="1:17">
      <c r="A50" s="9">
        <v>46178</v>
      </c>
      <c r="B50" s="5" t="s">
        <v>72</v>
      </c>
      <c r="C50" s="5" t="s">
        <v>3384</v>
      </c>
      <c r="D50" s="5" t="s">
        <v>72</v>
      </c>
      <c r="E50" s="5" t="s">
        <v>2882</v>
      </c>
      <c r="F50" s="5">
        <f t="shared" si="1"/>
        <v>38</v>
      </c>
      <c r="G50" s="5" t="s">
        <v>19</v>
      </c>
      <c r="H50" s="5" t="s">
        <v>45</v>
      </c>
      <c r="I50" s="5" t="s">
        <v>28</v>
      </c>
      <c r="J50" s="5" t="s">
        <v>28</v>
      </c>
      <c r="K50" s="5">
        <f t="shared" si="2"/>
        <v>4</v>
      </c>
      <c r="L50" s="5">
        <f t="shared" si="3"/>
        <v>4</v>
      </c>
      <c r="M50" s="5" t="str">
        <f t="shared" si="0"/>
        <v/>
      </c>
      <c r="N50" s="5" t="s">
        <v>3450</v>
      </c>
      <c r="O50" s="5" t="s">
        <v>3451</v>
      </c>
      <c r="P50" s="5" t="s">
        <v>3452</v>
      </c>
      <c r="Q50" s="5" t="s">
        <v>3453</v>
      </c>
    </row>
    <row r="51" spans="1:17">
      <c r="A51" s="9">
        <v>46178</v>
      </c>
      <c r="B51" s="5" t="s">
        <v>81</v>
      </c>
      <c r="C51" s="5" t="s">
        <v>50</v>
      </c>
      <c r="D51" s="4" t="s">
        <v>3638</v>
      </c>
      <c r="E51" s="5" t="s">
        <v>2343</v>
      </c>
      <c r="F51" s="5">
        <f t="shared" si="1"/>
        <v>27</v>
      </c>
      <c r="G51" s="5" t="s">
        <v>19</v>
      </c>
      <c r="H51" s="5" t="s">
        <v>45</v>
      </c>
      <c r="I51" s="5" t="s">
        <v>28</v>
      </c>
      <c r="J51" s="5" t="s">
        <v>28</v>
      </c>
      <c r="K51" s="5">
        <f t="shared" si="2"/>
        <v>4</v>
      </c>
      <c r="L51" s="5">
        <f t="shared" si="3"/>
        <v>4</v>
      </c>
      <c r="M51" s="5" t="str">
        <f t="shared" si="0"/>
        <v/>
      </c>
      <c r="N51" s="5" t="s">
        <v>3454</v>
      </c>
      <c r="O51" s="5" t="s">
        <v>2883</v>
      </c>
      <c r="P51" s="5" t="s">
        <v>2884</v>
      </c>
      <c r="Q51" s="5"/>
    </row>
    <row r="52" spans="1:17">
      <c r="A52" s="9">
        <v>46178</v>
      </c>
      <c r="B52" s="5" t="s">
        <v>15</v>
      </c>
      <c r="C52" s="5" t="s">
        <v>39</v>
      </c>
      <c r="D52" s="4" t="s">
        <v>3639</v>
      </c>
      <c r="E52" s="5" t="s">
        <v>2344</v>
      </c>
      <c r="F52" s="5">
        <f t="shared" si="1"/>
        <v>20</v>
      </c>
      <c r="G52" s="5" t="s">
        <v>19</v>
      </c>
      <c r="H52" s="5" t="s">
        <v>45</v>
      </c>
      <c r="I52" s="5" t="s">
        <v>21</v>
      </c>
      <c r="J52" s="5" t="s">
        <v>28</v>
      </c>
      <c r="K52" s="5">
        <f t="shared" si="2"/>
        <v>3</v>
      </c>
      <c r="L52" s="5">
        <f t="shared" si="3"/>
        <v>4</v>
      </c>
      <c r="M52" s="5" t="str">
        <f t="shared" si="0"/>
        <v/>
      </c>
      <c r="N52" s="5" t="s">
        <v>256</v>
      </c>
      <c r="O52" s="5" t="s">
        <v>3455</v>
      </c>
      <c r="P52" s="5" t="s">
        <v>258</v>
      </c>
      <c r="Q52" s="5"/>
    </row>
    <row r="53" spans="1:17">
      <c r="A53" s="9">
        <v>46178</v>
      </c>
      <c r="B53" s="5" t="s">
        <v>72</v>
      </c>
      <c r="C53" s="5" t="s">
        <v>3384</v>
      </c>
      <c r="D53" s="5" t="s">
        <v>72</v>
      </c>
      <c r="E53" s="5" t="s">
        <v>2345</v>
      </c>
      <c r="F53" s="5">
        <f t="shared" si="1"/>
        <v>26</v>
      </c>
      <c r="G53" s="5" t="s">
        <v>19</v>
      </c>
      <c r="H53" s="5" t="s">
        <v>45</v>
      </c>
      <c r="I53" s="5" t="s">
        <v>21</v>
      </c>
      <c r="J53" s="5" t="s">
        <v>21</v>
      </c>
      <c r="K53" s="5">
        <f t="shared" si="2"/>
        <v>3</v>
      </c>
      <c r="L53" s="5">
        <f t="shared" si="3"/>
        <v>3</v>
      </c>
      <c r="M53" s="5" t="str">
        <f t="shared" si="0"/>
        <v/>
      </c>
      <c r="N53" s="5" t="s">
        <v>2885</v>
      </c>
      <c r="O53" s="5" t="s">
        <v>262</v>
      </c>
      <c r="P53" s="5" t="s">
        <v>2886</v>
      </c>
      <c r="Q53" s="5" t="s">
        <v>2887</v>
      </c>
    </row>
    <row r="54" spans="1:17">
      <c r="A54" s="9">
        <v>46178</v>
      </c>
      <c r="B54" s="5" t="s">
        <v>15</v>
      </c>
      <c r="C54" s="5" t="s">
        <v>16</v>
      </c>
      <c r="D54" s="5" t="s">
        <v>105</v>
      </c>
      <c r="E54" s="5" t="s">
        <v>2346</v>
      </c>
      <c r="F54" s="5">
        <f t="shared" si="1"/>
        <v>25</v>
      </c>
      <c r="G54" s="5" t="s">
        <v>19</v>
      </c>
      <c r="H54" s="5" t="s">
        <v>20</v>
      </c>
      <c r="I54" s="5" t="s">
        <v>21</v>
      </c>
      <c r="J54" s="5" t="s">
        <v>21</v>
      </c>
      <c r="K54" s="5">
        <f t="shared" si="2"/>
        <v>3</v>
      </c>
      <c r="L54" s="5">
        <f t="shared" si="3"/>
        <v>3</v>
      </c>
      <c r="M54" s="5" t="str">
        <f t="shared" si="0"/>
        <v/>
      </c>
      <c r="N54" s="5" t="s">
        <v>266</v>
      </c>
      <c r="O54" s="5" t="s">
        <v>267</v>
      </c>
      <c r="P54" s="5" t="s">
        <v>268</v>
      </c>
      <c r="Q54" s="5"/>
    </row>
    <row r="55" spans="1:17">
      <c r="A55" s="9">
        <v>46178</v>
      </c>
      <c r="B55" s="5" t="s">
        <v>72</v>
      </c>
      <c r="C55" s="5" t="s">
        <v>3384</v>
      </c>
      <c r="D55" s="5" t="s">
        <v>72</v>
      </c>
      <c r="E55" s="5" t="s">
        <v>2347</v>
      </c>
      <c r="F55" s="5">
        <f t="shared" si="1"/>
        <v>23</v>
      </c>
      <c r="G55" s="5" t="s">
        <v>19</v>
      </c>
      <c r="H55" s="5" t="s">
        <v>45</v>
      </c>
      <c r="I55" s="5" t="s">
        <v>21</v>
      </c>
      <c r="J55" s="5" t="s">
        <v>21</v>
      </c>
      <c r="K55" s="5">
        <f t="shared" si="2"/>
        <v>3</v>
      </c>
      <c r="L55" s="5">
        <f t="shared" si="3"/>
        <v>3</v>
      </c>
      <c r="M55" s="5" t="str">
        <f t="shared" si="0"/>
        <v/>
      </c>
      <c r="N55" s="5" t="s">
        <v>2888</v>
      </c>
      <c r="O55" s="5" t="s">
        <v>3456</v>
      </c>
      <c r="P55" s="5" t="s">
        <v>272</v>
      </c>
      <c r="Q55" s="5" t="s">
        <v>273</v>
      </c>
    </row>
    <row r="56" spans="1:17">
      <c r="A56" s="9">
        <v>46178</v>
      </c>
      <c r="B56" s="5" t="s">
        <v>111</v>
      </c>
      <c r="C56" s="5" t="s">
        <v>112</v>
      </c>
      <c r="D56" s="5" t="s">
        <v>3385</v>
      </c>
      <c r="E56" s="5" t="s">
        <v>2348</v>
      </c>
      <c r="F56" s="5">
        <f t="shared" si="1"/>
        <v>22</v>
      </c>
      <c r="G56" s="5" t="s">
        <v>19</v>
      </c>
      <c r="H56" s="5" t="s">
        <v>20</v>
      </c>
      <c r="I56" s="5" t="s">
        <v>28</v>
      </c>
      <c r="J56" s="5" t="s">
        <v>28</v>
      </c>
      <c r="K56" s="5">
        <f t="shared" si="2"/>
        <v>4</v>
      </c>
      <c r="L56" s="5">
        <f t="shared" si="3"/>
        <v>4</v>
      </c>
      <c r="M56" s="5" t="str">
        <f t="shared" si="0"/>
        <v/>
      </c>
      <c r="N56" s="5" t="s">
        <v>275</v>
      </c>
      <c r="O56" s="5" t="s">
        <v>276</v>
      </c>
      <c r="P56" s="5" t="s">
        <v>277</v>
      </c>
      <c r="Q56" s="5" t="s">
        <v>2761</v>
      </c>
    </row>
    <row r="57" spans="1:17">
      <c r="A57" s="9">
        <v>46178</v>
      </c>
      <c r="B57" s="5" t="s">
        <v>111</v>
      </c>
      <c r="C57" s="5" t="s">
        <v>112</v>
      </c>
      <c r="D57" s="5" t="s">
        <v>3385</v>
      </c>
      <c r="E57" s="5" t="s">
        <v>2349</v>
      </c>
      <c r="F57" s="5">
        <f t="shared" si="1"/>
        <v>24</v>
      </c>
      <c r="G57" s="5" t="s">
        <v>19</v>
      </c>
      <c r="H57" s="5" t="s">
        <v>20</v>
      </c>
      <c r="I57" s="5" t="s">
        <v>21</v>
      </c>
      <c r="J57" s="5" t="s">
        <v>28</v>
      </c>
      <c r="K57" s="5">
        <f t="shared" si="2"/>
        <v>3</v>
      </c>
      <c r="L57" s="5">
        <f t="shared" si="3"/>
        <v>4</v>
      </c>
      <c r="M57" s="5" t="str">
        <f t="shared" si="0"/>
        <v/>
      </c>
      <c r="N57" s="5" t="s">
        <v>280</v>
      </c>
      <c r="O57" s="5"/>
      <c r="P57" s="5" t="s">
        <v>3457</v>
      </c>
      <c r="Q57" s="5" t="s">
        <v>2889</v>
      </c>
    </row>
    <row r="58" spans="1:17">
      <c r="A58" s="9">
        <v>46178</v>
      </c>
      <c r="B58" s="5" t="s">
        <v>15</v>
      </c>
      <c r="C58" s="5" t="s">
        <v>39</v>
      </c>
      <c r="D58" s="5" t="s">
        <v>15</v>
      </c>
      <c r="E58" s="5" t="s">
        <v>2350</v>
      </c>
      <c r="F58" s="5">
        <f t="shared" si="1"/>
        <v>27</v>
      </c>
      <c r="G58" s="5" t="s">
        <v>19</v>
      </c>
      <c r="H58" s="5" t="s">
        <v>20</v>
      </c>
      <c r="I58" s="5" t="s">
        <v>21</v>
      </c>
      <c r="J58" s="5" t="s">
        <v>21</v>
      </c>
      <c r="K58" s="5">
        <f t="shared" si="2"/>
        <v>3</v>
      </c>
      <c r="L58" s="5">
        <f t="shared" si="3"/>
        <v>3</v>
      </c>
      <c r="M58" s="5" t="str">
        <f t="shared" si="0"/>
        <v/>
      </c>
      <c r="N58" s="5" t="s">
        <v>285</v>
      </c>
      <c r="O58" s="5" t="s">
        <v>286</v>
      </c>
      <c r="P58" s="5" t="s">
        <v>100</v>
      </c>
      <c r="Q58" s="5" t="s">
        <v>287</v>
      </c>
    </row>
    <row r="59" spans="1:17">
      <c r="A59" s="9">
        <v>46178</v>
      </c>
      <c r="B59" s="5" t="s">
        <v>81</v>
      </c>
      <c r="C59" s="5" t="s">
        <v>82</v>
      </c>
      <c r="D59" s="4" t="s">
        <v>3642</v>
      </c>
      <c r="E59" s="5" t="s">
        <v>2351</v>
      </c>
      <c r="F59" s="5">
        <f t="shared" si="1"/>
        <v>19</v>
      </c>
      <c r="G59" s="5" t="s">
        <v>19</v>
      </c>
      <c r="H59" s="5" t="s">
        <v>20</v>
      </c>
      <c r="I59" s="5" t="s">
        <v>21</v>
      </c>
      <c r="J59" s="5" t="s">
        <v>28</v>
      </c>
      <c r="K59" s="5">
        <f t="shared" si="2"/>
        <v>3</v>
      </c>
      <c r="L59" s="5">
        <f t="shared" si="3"/>
        <v>4</v>
      </c>
      <c r="M59" s="5" t="str">
        <f t="shared" si="0"/>
        <v/>
      </c>
      <c r="N59" s="5" t="s">
        <v>290</v>
      </c>
      <c r="O59" s="5" t="s">
        <v>3458</v>
      </c>
      <c r="P59" s="5" t="s">
        <v>3459</v>
      </c>
      <c r="Q59" s="5"/>
    </row>
    <row r="60" spans="1:17">
      <c r="A60" s="9">
        <v>46178</v>
      </c>
      <c r="B60" s="5" t="s">
        <v>81</v>
      </c>
      <c r="C60" s="5" t="s">
        <v>82</v>
      </c>
      <c r="D60" s="5" t="s">
        <v>83</v>
      </c>
      <c r="E60" s="5" t="s">
        <v>2352</v>
      </c>
      <c r="F60" s="5">
        <f t="shared" si="1"/>
        <v>17</v>
      </c>
      <c r="G60" s="5" t="s">
        <v>19</v>
      </c>
      <c r="H60" s="5" t="s">
        <v>20</v>
      </c>
      <c r="I60" s="5" t="s">
        <v>28</v>
      </c>
      <c r="J60" s="5" t="s">
        <v>28</v>
      </c>
      <c r="K60" s="5">
        <f t="shared" si="2"/>
        <v>4</v>
      </c>
      <c r="L60" s="5">
        <f t="shared" si="3"/>
        <v>4</v>
      </c>
      <c r="M60" s="5" t="str">
        <f t="shared" si="0"/>
        <v/>
      </c>
      <c r="N60" s="5" t="s">
        <v>2890</v>
      </c>
      <c r="O60" s="5" t="s">
        <v>2891</v>
      </c>
      <c r="P60" s="5" t="s">
        <v>3460</v>
      </c>
      <c r="Q60" s="5" t="s">
        <v>3461</v>
      </c>
    </row>
    <row r="61" spans="1:17">
      <c r="A61" s="9">
        <v>46178</v>
      </c>
      <c r="B61" s="5" t="s">
        <v>81</v>
      </c>
      <c r="C61" s="5" t="s">
        <v>50</v>
      </c>
      <c r="D61" s="4" t="s">
        <v>3641</v>
      </c>
      <c r="E61" s="5" t="s">
        <v>2353</v>
      </c>
      <c r="F61" s="5">
        <f t="shared" si="1"/>
        <v>34</v>
      </c>
      <c r="G61" s="5" t="s">
        <v>19</v>
      </c>
      <c r="H61" s="5" t="s">
        <v>20</v>
      </c>
      <c r="I61" s="5" t="s">
        <v>28</v>
      </c>
      <c r="J61" s="5" t="s">
        <v>28</v>
      </c>
      <c r="K61" s="5">
        <f t="shared" si="2"/>
        <v>4</v>
      </c>
      <c r="L61" s="5">
        <f t="shared" si="3"/>
        <v>4</v>
      </c>
      <c r="M61" s="5" t="str">
        <f t="shared" si="0"/>
        <v/>
      </c>
      <c r="N61" s="5" t="s">
        <v>2768</v>
      </c>
      <c r="O61" s="5"/>
      <c r="P61" s="5"/>
      <c r="Q61" s="5"/>
    </row>
    <row r="62" spans="1:17">
      <c r="A62" s="9">
        <v>46178</v>
      </c>
      <c r="B62" s="5" t="s">
        <v>72</v>
      </c>
      <c r="C62" s="5" t="s">
        <v>3384</v>
      </c>
      <c r="D62" s="5" t="s">
        <v>72</v>
      </c>
      <c r="E62" s="5" t="s">
        <v>2354</v>
      </c>
      <c r="F62" s="5">
        <f t="shared" si="1"/>
        <v>31</v>
      </c>
      <c r="G62" s="5" t="s">
        <v>19</v>
      </c>
      <c r="H62" s="5" t="s">
        <v>45</v>
      </c>
      <c r="I62" s="5" t="s">
        <v>21</v>
      </c>
      <c r="J62" s="5" t="s">
        <v>28</v>
      </c>
      <c r="K62" s="5">
        <f t="shared" si="2"/>
        <v>3</v>
      </c>
      <c r="L62" s="5">
        <f t="shared" si="3"/>
        <v>4</v>
      </c>
      <c r="M62" s="5" t="str">
        <f t="shared" si="0"/>
        <v/>
      </c>
      <c r="N62" s="5" t="s">
        <v>302</v>
      </c>
      <c r="O62" s="5" t="s">
        <v>2892</v>
      </c>
      <c r="P62" s="5" t="s">
        <v>304</v>
      </c>
      <c r="Q62" s="5" t="s">
        <v>305</v>
      </c>
    </row>
    <row r="63" spans="1:17">
      <c r="A63" s="9">
        <v>46178</v>
      </c>
      <c r="B63" s="5" t="s">
        <v>15</v>
      </c>
      <c r="C63" s="5" t="s">
        <v>33</v>
      </c>
      <c r="D63" s="5" t="s">
        <v>34</v>
      </c>
      <c r="E63" s="5" t="s">
        <v>2355</v>
      </c>
      <c r="F63" s="5">
        <f t="shared" si="1"/>
        <v>28</v>
      </c>
      <c r="G63" s="5" t="s">
        <v>19</v>
      </c>
      <c r="H63" s="5" t="s">
        <v>20</v>
      </c>
      <c r="I63" s="5" t="s">
        <v>28</v>
      </c>
      <c r="J63" s="5" t="s">
        <v>21</v>
      </c>
      <c r="K63" s="5">
        <f t="shared" si="2"/>
        <v>4</v>
      </c>
      <c r="L63" s="5">
        <f t="shared" si="3"/>
        <v>3</v>
      </c>
      <c r="M63" s="5" t="str">
        <f t="shared" si="0"/>
        <v/>
      </c>
      <c r="N63" s="5" t="s">
        <v>2769</v>
      </c>
      <c r="O63" s="5" t="s">
        <v>308</v>
      </c>
      <c r="P63" s="5" t="s">
        <v>309</v>
      </c>
      <c r="Q63" s="5" t="s">
        <v>310</v>
      </c>
    </row>
    <row r="64" spans="1:17">
      <c r="A64" s="9">
        <v>46178</v>
      </c>
      <c r="B64" s="5" t="s">
        <v>15</v>
      </c>
      <c r="C64" s="5" t="s">
        <v>39</v>
      </c>
      <c r="D64" s="5" t="s">
        <v>15</v>
      </c>
      <c r="E64" s="5" t="s">
        <v>2356</v>
      </c>
      <c r="F64" s="5">
        <f t="shared" si="1"/>
        <v>26</v>
      </c>
      <c r="G64" s="5" t="s">
        <v>19</v>
      </c>
      <c r="H64" s="5" t="s">
        <v>20</v>
      </c>
      <c r="I64" s="5" t="s">
        <v>28</v>
      </c>
      <c r="J64" s="5" t="s">
        <v>28</v>
      </c>
      <c r="K64" s="5">
        <f t="shared" si="2"/>
        <v>4</v>
      </c>
      <c r="L64" s="5">
        <f t="shared" si="3"/>
        <v>4</v>
      </c>
      <c r="M64" s="5" t="str">
        <f t="shared" si="0"/>
        <v/>
      </c>
      <c r="N64" s="5" t="s">
        <v>2893</v>
      </c>
      <c r="O64" s="5" t="s">
        <v>2894</v>
      </c>
      <c r="P64" s="5" t="s">
        <v>2895</v>
      </c>
      <c r="Q64" s="5" t="s">
        <v>2896</v>
      </c>
    </row>
    <row r="65" spans="1:17">
      <c r="A65" s="9">
        <v>46178</v>
      </c>
      <c r="B65" s="5" t="s">
        <v>15</v>
      </c>
      <c r="C65" s="5" t="s">
        <v>39</v>
      </c>
      <c r="D65" s="4" t="s">
        <v>3639</v>
      </c>
      <c r="E65" s="5" t="s">
        <v>2357</v>
      </c>
      <c r="F65" s="5">
        <f t="shared" si="1"/>
        <v>27</v>
      </c>
      <c r="G65" s="5" t="s">
        <v>19</v>
      </c>
      <c r="H65" s="5" t="s">
        <v>45</v>
      </c>
      <c r="I65" s="5" t="s">
        <v>21</v>
      </c>
      <c r="J65" s="5" t="s">
        <v>28</v>
      </c>
      <c r="K65" s="5">
        <f t="shared" si="2"/>
        <v>3</v>
      </c>
      <c r="L65" s="5">
        <f t="shared" si="3"/>
        <v>4</v>
      </c>
      <c r="M65" s="5" t="str">
        <f t="shared" si="0"/>
        <v/>
      </c>
      <c r="N65" s="5" t="s">
        <v>3462</v>
      </c>
      <c r="O65" s="5" t="s">
        <v>3463</v>
      </c>
      <c r="P65" s="5" t="s">
        <v>2897</v>
      </c>
      <c r="Q65" s="5" t="s">
        <v>3464</v>
      </c>
    </row>
    <row r="66" spans="1:17">
      <c r="A66" s="9">
        <v>46178</v>
      </c>
      <c r="B66" s="5" t="s">
        <v>15</v>
      </c>
      <c r="C66" s="5" t="s">
        <v>39</v>
      </c>
      <c r="D66" s="4" t="s">
        <v>3639</v>
      </c>
      <c r="E66" s="5" t="s">
        <v>2358</v>
      </c>
      <c r="F66" s="5">
        <f t="shared" si="1"/>
        <v>41</v>
      </c>
      <c r="G66" s="5" t="s">
        <v>19</v>
      </c>
      <c r="H66" s="5" t="s">
        <v>45</v>
      </c>
      <c r="I66" s="5" t="s">
        <v>21</v>
      </c>
      <c r="J66" s="5" t="s">
        <v>28</v>
      </c>
      <c r="K66" s="5">
        <f t="shared" si="2"/>
        <v>3</v>
      </c>
      <c r="L66" s="5">
        <f t="shared" si="3"/>
        <v>4</v>
      </c>
      <c r="M66" s="5" t="str">
        <f t="shared" ref="M66:M129" si="4">IF(OR(I66="Poor",I66="Very Poor"),"YES","")</f>
        <v/>
      </c>
      <c r="N66" s="5" t="s">
        <v>2898</v>
      </c>
      <c r="O66" s="5" t="s">
        <v>2899</v>
      </c>
      <c r="P66" s="5" t="s">
        <v>2900</v>
      </c>
      <c r="Q66" s="5"/>
    </row>
    <row r="67" spans="1:17">
      <c r="A67" s="9">
        <v>46178</v>
      </c>
      <c r="B67" s="5" t="s">
        <v>15</v>
      </c>
      <c r="C67" s="5" t="s">
        <v>16</v>
      </c>
      <c r="D67" s="5" t="s">
        <v>17</v>
      </c>
      <c r="E67" s="5" t="s">
        <v>2359</v>
      </c>
      <c r="F67" s="5">
        <f t="shared" ref="F67:F130" si="5">LEN(E67)</f>
        <v>23</v>
      </c>
      <c r="G67" s="5" t="s">
        <v>19</v>
      </c>
      <c r="H67" s="5" t="s">
        <v>45</v>
      </c>
      <c r="I67" s="5" t="s">
        <v>28</v>
      </c>
      <c r="J67" s="5" t="s">
        <v>28</v>
      </c>
      <c r="K67" s="5">
        <f t="shared" ref="K67:K130" si="6">IF(I67="Very Good",4,IF(I67="Good",3,IF(I67="Poor",2,IF(I67="Very Poor",1,""))))</f>
        <v>4</v>
      </c>
      <c r="L67" s="5">
        <f t="shared" ref="L67:L130" si="7">IF(J67="Very Good",4,IF(J67="Good",3,IF(J67="Poor",2,IF(J67="Very Poor",1,""))))</f>
        <v>4</v>
      </c>
      <c r="M67" s="5" t="str">
        <f t="shared" si="4"/>
        <v/>
      </c>
      <c r="N67" s="5" t="s">
        <v>2901</v>
      </c>
      <c r="O67" s="5" t="s">
        <v>2902</v>
      </c>
      <c r="P67" s="5" t="s">
        <v>2903</v>
      </c>
      <c r="Q67" s="5"/>
    </row>
    <row r="68" spans="1:17">
      <c r="A68" s="9">
        <v>46178</v>
      </c>
      <c r="B68" s="5" t="s">
        <v>111</v>
      </c>
      <c r="C68" s="5" t="s">
        <v>112</v>
      </c>
      <c r="D68" s="5" t="s">
        <v>3385</v>
      </c>
      <c r="E68" s="5" t="s">
        <v>2360</v>
      </c>
      <c r="F68" s="5">
        <f t="shared" si="5"/>
        <v>21</v>
      </c>
      <c r="G68" s="5" t="s">
        <v>19</v>
      </c>
      <c r="H68" s="5" t="s">
        <v>20</v>
      </c>
      <c r="I68" s="5" t="s">
        <v>21</v>
      </c>
      <c r="J68" s="5" t="s">
        <v>21</v>
      </c>
      <c r="K68" s="5">
        <f t="shared" si="6"/>
        <v>3</v>
      </c>
      <c r="L68" s="5">
        <f t="shared" si="7"/>
        <v>3</v>
      </c>
      <c r="M68" s="5" t="str">
        <f t="shared" si="4"/>
        <v/>
      </c>
      <c r="N68" s="5" t="s">
        <v>2904</v>
      </c>
      <c r="O68" s="5" t="s">
        <v>3465</v>
      </c>
      <c r="P68" s="5" t="s">
        <v>2756</v>
      </c>
      <c r="Q68" s="5" t="s">
        <v>2905</v>
      </c>
    </row>
    <row r="69" spans="1:17">
      <c r="A69" s="9">
        <v>46178</v>
      </c>
      <c r="B69" s="5" t="s">
        <v>72</v>
      </c>
      <c r="C69" s="5" t="s">
        <v>3384</v>
      </c>
      <c r="D69" s="5" t="s">
        <v>72</v>
      </c>
      <c r="E69" s="5" t="s">
        <v>2361</v>
      </c>
      <c r="F69" s="5">
        <f t="shared" si="5"/>
        <v>27</v>
      </c>
      <c r="G69" s="5" t="s">
        <v>19</v>
      </c>
      <c r="H69" s="5" t="s">
        <v>45</v>
      </c>
      <c r="I69" s="5" t="s">
        <v>21</v>
      </c>
      <c r="J69" s="5" t="s">
        <v>28</v>
      </c>
      <c r="K69" s="5">
        <f t="shared" si="6"/>
        <v>3</v>
      </c>
      <c r="L69" s="5">
        <f t="shared" si="7"/>
        <v>4</v>
      </c>
      <c r="M69" s="5" t="str">
        <f t="shared" si="4"/>
        <v/>
      </c>
      <c r="N69" s="5" t="s">
        <v>335</v>
      </c>
      <c r="O69" s="5" t="s">
        <v>3466</v>
      </c>
      <c r="P69" s="5" t="s">
        <v>3467</v>
      </c>
      <c r="Q69" s="5" t="s">
        <v>3468</v>
      </c>
    </row>
    <row r="70" spans="1:17">
      <c r="A70" s="9">
        <v>46178</v>
      </c>
      <c r="B70" s="5" t="s">
        <v>81</v>
      </c>
      <c r="C70" s="5" t="s">
        <v>50</v>
      </c>
      <c r="D70" s="4" t="s">
        <v>3638</v>
      </c>
      <c r="E70" s="5" t="s">
        <v>2362</v>
      </c>
      <c r="F70" s="5">
        <f t="shared" si="5"/>
        <v>49</v>
      </c>
      <c r="G70" s="5" t="s">
        <v>19</v>
      </c>
      <c r="H70" s="5" t="s">
        <v>20</v>
      </c>
      <c r="I70" s="5" t="s">
        <v>21</v>
      </c>
      <c r="J70" s="5" t="s">
        <v>21</v>
      </c>
      <c r="K70" s="5">
        <f t="shared" si="6"/>
        <v>3</v>
      </c>
      <c r="L70" s="5">
        <f t="shared" si="7"/>
        <v>3</v>
      </c>
      <c r="M70" s="5" t="str">
        <f t="shared" si="4"/>
        <v/>
      </c>
      <c r="N70" s="5" t="s">
        <v>340</v>
      </c>
      <c r="O70" s="5" t="s">
        <v>341</v>
      </c>
      <c r="P70" s="5" t="s">
        <v>342</v>
      </c>
      <c r="Q70" s="5"/>
    </row>
    <row r="71" spans="1:17">
      <c r="A71" s="9">
        <v>46178</v>
      </c>
      <c r="B71" s="5" t="s">
        <v>81</v>
      </c>
      <c r="C71" s="5" t="s">
        <v>50</v>
      </c>
      <c r="D71" s="4" t="s">
        <v>3641</v>
      </c>
      <c r="E71" s="5" t="s">
        <v>2363</v>
      </c>
      <c r="F71" s="5">
        <f t="shared" si="5"/>
        <v>48</v>
      </c>
      <c r="G71" s="5" t="s">
        <v>19</v>
      </c>
      <c r="H71" s="5" t="s">
        <v>20</v>
      </c>
      <c r="I71" s="5" t="s">
        <v>28</v>
      </c>
      <c r="J71" s="5" t="s">
        <v>28</v>
      </c>
      <c r="K71" s="5">
        <f t="shared" si="6"/>
        <v>4</v>
      </c>
      <c r="L71" s="5">
        <f t="shared" si="7"/>
        <v>4</v>
      </c>
      <c r="M71" s="5" t="str">
        <f t="shared" si="4"/>
        <v/>
      </c>
      <c r="N71" s="5" t="s">
        <v>344</v>
      </c>
      <c r="O71" s="5" t="s">
        <v>345</v>
      </c>
      <c r="P71" s="5" t="s">
        <v>346</v>
      </c>
      <c r="Q71" s="5" t="s">
        <v>346</v>
      </c>
    </row>
    <row r="72" spans="1:17">
      <c r="A72" s="9">
        <v>46178</v>
      </c>
      <c r="B72" s="5" t="s">
        <v>150</v>
      </c>
      <c r="C72" s="5" t="s">
        <v>3389</v>
      </c>
      <c r="D72" s="5" t="s">
        <v>150</v>
      </c>
      <c r="E72" s="5" t="s">
        <v>2906</v>
      </c>
      <c r="F72" s="5">
        <f t="shared" si="5"/>
        <v>22</v>
      </c>
      <c r="G72" s="5" t="s">
        <v>19</v>
      </c>
      <c r="H72" s="5" t="s">
        <v>45</v>
      </c>
      <c r="I72" s="5" t="s">
        <v>28</v>
      </c>
      <c r="J72" s="5" t="s">
        <v>28</v>
      </c>
      <c r="K72" s="5">
        <f t="shared" si="6"/>
        <v>4</v>
      </c>
      <c r="L72" s="5">
        <f t="shared" si="7"/>
        <v>4</v>
      </c>
      <c r="M72" s="5" t="str">
        <f t="shared" si="4"/>
        <v/>
      </c>
      <c r="N72" s="5" t="s">
        <v>348</v>
      </c>
      <c r="O72" s="5" t="s">
        <v>349</v>
      </c>
      <c r="P72" s="5"/>
      <c r="Q72" s="5"/>
    </row>
    <row r="73" spans="1:17">
      <c r="A73" s="9">
        <v>46178</v>
      </c>
      <c r="B73" s="5" t="s">
        <v>15</v>
      </c>
      <c r="C73" s="5" t="s">
        <v>16</v>
      </c>
      <c r="D73" s="5" t="s">
        <v>105</v>
      </c>
      <c r="E73" s="5" t="s">
        <v>2907</v>
      </c>
      <c r="F73" s="5">
        <f t="shared" si="5"/>
        <v>42</v>
      </c>
      <c r="G73" s="5" t="s">
        <v>19</v>
      </c>
      <c r="H73" s="5" t="s">
        <v>20</v>
      </c>
      <c r="I73" s="5" t="s">
        <v>28</v>
      </c>
      <c r="J73" s="5" t="s">
        <v>28</v>
      </c>
      <c r="K73" s="5">
        <f t="shared" si="6"/>
        <v>4</v>
      </c>
      <c r="L73" s="5">
        <f t="shared" si="7"/>
        <v>4</v>
      </c>
      <c r="M73" s="5" t="str">
        <f t="shared" si="4"/>
        <v/>
      </c>
      <c r="N73" s="5" t="s">
        <v>2908</v>
      </c>
      <c r="O73" s="5" t="s">
        <v>3469</v>
      </c>
      <c r="P73" s="5" t="s">
        <v>3470</v>
      </c>
      <c r="Q73" s="5"/>
    </row>
    <row r="74" spans="1:17">
      <c r="A74" s="9">
        <v>46178</v>
      </c>
      <c r="B74" s="5" t="s">
        <v>15</v>
      </c>
      <c r="C74" s="5" t="s">
        <v>16</v>
      </c>
      <c r="D74" s="5" t="s">
        <v>17</v>
      </c>
      <c r="E74" s="5" t="s">
        <v>2909</v>
      </c>
      <c r="F74" s="5">
        <f t="shared" si="5"/>
        <v>21</v>
      </c>
      <c r="G74" s="5" t="s">
        <v>19</v>
      </c>
      <c r="H74" s="5" t="s">
        <v>20</v>
      </c>
      <c r="I74" s="5" t="s">
        <v>21</v>
      </c>
      <c r="J74" s="5" t="s">
        <v>21</v>
      </c>
      <c r="K74" s="5">
        <f t="shared" si="6"/>
        <v>3</v>
      </c>
      <c r="L74" s="5">
        <f t="shared" si="7"/>
        <v>3</v>
      </c>
      <c r="M74" s="5" t="str">
        <f t="shared" si="4"/>
        <v/>
      </c>
      <c r="N74" s="5" t="s">
        <v>2910</v>
      </c>
      <c r="O74" s="5" t="s">
        <v>2911</v>
      </c>
      <c r="P74" s="5" t="s">
        <v>2912</v>
      </c>
      <c r="Q74" s="5"/>
    </row>
    <row r="75" spans="1:17">
      <c r="A75" s="9">
        <v>46178</v>
      </c>
      <c r="B75" s="5" t="s">
        <v>15</v>
      </c>
      <c r="C75" s="5" t="s">
        <v>16</v>
      </c>
      <c r="D75" s="5" t="s">
        <v>17</v>
      </c>
      <c r="E75" s="5" t="s">
        <v>2364</v>
      </c>
      <c r="F75" s="5">
        <f t="shared" si="5"/>
        <v>22</v>
      </c>
      <c r="G75" s="5" t="s">
        <v>19</v>
      </c>
      <c r="H75" s="5" t="s">
        <v>20</v>
      </c>
      <c r="I75" s="5" t="s">
        <v>21</v>
      </c>
      <c r="J75" s="5" t="s">
        <v>21</v>
      </c>
      <c r="K75" s="5">
        <f t="shared" si="6"/>
        <v>3</v>
      </c>
      <c r="L75" s="5">
        <f t="shared" si="7"/>
        <v>3</v>
      </c>
      <c r="M75" s="5" t="str">
        <f t="shared" si="4"/>
        <v/>
      </c>
      <c r="N75" s="5" t="s">
        <v>3471</v>
      </c>
      <c r="O75" s="5" t="s">
        <v>3472</v>
      </c>
      <c r="P75" s="5" t="s">
        <v>2913</v>
      </c>
      <c r="Q75" s="5"/>
    </row>
    <row r="76" spans="1:17">
      <c r="A76" s="9">
        <v>46178</v>
      </c>
      <c r="B76" s="5" t="s">
        <v>15</v>
      </c>
      <c r="C76" s="5" t="s">
        <v>16</v>
      </c>
      <c r="D76" s="5" t="s">
        <v>105</v>
      </c>
      <c r="E76" s="5" t="s">
        <v>2365</v>
      </c>
      <c r="F76" s="5">
        <f t="shared" si="5"/>
        <v>33</v>
      </c>
      <c r="G76" s="5" t="s">
        <v>107</v>
      </c>
      <c r="H76" s="5" t="s">
        <v>20</v>
      </c>
      <c r="I76" s="5" t="s">
        <v>21</v>
      </c>
      <c r="J76" s="5" t="s">
        <v>21</v>
      </c>
      <c r="K76" s="5">
        <f t="shared" si="6"/>
        <v>3</v>
      </c>
      <c r="L76" s="5">
        <f t="shared" si="7"/>
        <v>3</v>
      </c>
      <c r="M76" s="5" t="str">
        <f t="shared" si="4"/>
        <v/>
      </c>
      <c r="N76" s="5" t="s">
        <v>2914</v>
      </c>
      <c r="O76" s="5" t="s">
        <v>2915</v>
      </c>
      <c r="P76" s="5" t="s">
        <v>3392</v>
      </c>
      <c r="Q76" s="5"/>
    </row>
    <row r="77" spans="1:17">
      <c r="A77" s="9">
        <v>46178</v>
      </c>
      <c r="B77" s="5" t="s">
        <v>111</v>
      </c>
      <c r="C77" s="5" t="s">
        <v>112</v>
      </c>
      <c r="D77" s="5" t="s">
        <v>3385</v>
      </c>
      <c r="E77" s="5" t="s">
        <v>2366</v>
      </c>
      <c r="F77" s="5">
        <f t="shared" si="5"/>
        <v>33</v>
      </c>
      <c r="G77" s="5" t="s">
        <v>19</v>
      </c>
      <c r="H77" s="5" t="s">
        <v>20</v>
      </c>
      <c r="I77" s="5" t="s">
        <v>28</v>
      </c>
      <c r="J77" s="5" t="s">
        <v>28</v>
      </c>
      <c r="K77" s="5">
        <f t="shared" si="6"/>
        <v>4</v>
      </c>
      <c r="L77" s="5">
        <f t="shared" si="7"/>
        <v>4</v>
      </c>
      <c r="M77" s="5" t="str">
        <f t="shared" si="4"/>
        <v/>
      </c>
      <c r="N77" s="5" t="s">
        <v>2916</v>
      </c>
      <c r="O77" s="5" t="s">
        <v>3473</v>
      </c>
      <c r="P77" s="5" t="s">
        <v>2917</v>
      </c>
      <c r="Q77" s="5" t="s">
        <v>3393</v>
      </c>
    </row>
    <row r="78" spans="1:17">
      <c r="A78" s="9">
        <v>46178</v>
      </c>
      <c r="B78" s="5" t="s">
        <v>15</v>
      </c>
      <c r="C78" s="5" t="s">
        <v>39</v>
      </c>
      <c r="D78" s="5" t="s">
        <v>3382</v>
      </c>
      <c r="E78" s="5" t="s">
        <v>2367</v>
      </c>
      <c r="F78" s="5">
        <f t="shared" si="5"/>
        <v>30</v>
      </c>
      <c r="G78" s="5" t="s">
        <v>19</v>
      </c>
      <c r="H78" s="5" t="s">
        <v>45</v>
      </c>
      <c r="I78" s="5" t="s">
        <v>28</v>
      </c>
      <c r="J78" s="5" t="s">
        <v>28</v>
      </c>
      <c r="K78" s="5">
        <f t="shared" si="6"/>
        <v>4</v>
      </c>
      <c r="L78" s="5">
        <f t="shared" si="7"/>
        <v>4</v>
      </c>
      <c r="M78" s="5" t="str">
        <f t="shared" si="4"/>
        <v/>
      </c>
      <c r="N78" s="5" t="s">
        <v>2918</v>
      </c>
      <c r="O78" s="5" t="s">
        <v>3474</v>
      </c>
      <c r="P78" s="5" t="s">
        <v>374</v>
      </c>
      <c r="Q78" s="5"/>
    </row>
    <row r="79" spans="1:17">
      <c r="A79" s="9">
        <v>46178</v>
      </c>
      <c r="B79" s="5" t="s">
        <v>111</v>
      </c>
      <c r="C79" s="5" t="s">
        <v>112</v>
      </c>
      <c r="D79" s="5" t="s">
        <v>3385</v>
      </c>
      <c r="E79" s="5" t="s">
        <v>2368</v>
      </c>
      <c r="F79" s="5">
        <f t="shared" si="5"/>
        <v>22</v>
      </c>
      <c r="G79" s="5" t="s">
        <v>19</v>
      </c>
      <c r="H79" s="5" t="s">
        <v>45</v>
      </c>
      <c r="I79" s="5" t="s">
        <v>21</v>
      </c>
      <c r="J79" s="5" t="s">
        <v>21</v>
      </c>
      <c r="K79" s="5">
        <f t="shared" si="6"/>
        <v>3</v>
      </c>
      <c r="L79" s="5">
        <f t="shared" si="7"/>
        <v>3</v>
      </c>
      <c r="M79" s="5" t="str">
        <f t="shared" si="4"/>
        <v/>
      </c>
      <c r="N79" s="5" t="s">
        <v>2919</v>
      </c>
      <c r="O79" s="5" t="s">
        <v>2920</v>
      </c>
      <c r="P79" s="5" t="s">
        <v>2921</v>
      </c>
      <c r="Q79" s="5" t="s">
        <v>2922</v>
      </c>
    </row>
    <row r="80" spans="1:17">
      <c r="A80" s="9">
        <v>46178</v>
      </c>
      <c r="B80" s="5" t="s">
        <v>15</v>
      </c>
      <c r="C80" s="5" t="s">
        <v>39</v>
      </c>
      <c r="D80" s="4" t="s">
        <v>3637</v>
      </c>
      <c r="E80" s="5" t="s">
        <v>2369</v>
      </c>
      <c r="F80" s="5">
        <f t="shared" si="5"/>
        <v>28</v>
      </c>
      <c r="G80" s="5" t="s">
        <v>19</v>
      </c>
      <c r="H80" s="5" t="s">
        <v>45</v>
      </c>
      <c r="I80" s="5" t="s">
        <v>21</v>
      </c>
      <c r="J80" s="5" t="s">
        <v>21</v>
      </c>
      <c r="K80" s="5">
        <f t="shared" si="6"/>
        <v>3</v>
      </c>
      <c r="L80" s="5">
        <f t="shared" si="7"/>
        <v>3</v>
      </c>
      <c r="M80" s="5" t="str">
        <f t="shared" si="4"/>
        <v/>
      </c>
      <c r="N80" s="5" t="s">
        <v>381</v>
      </c>
      <c r="O80" s="5" t="s">
        <v>382</v>
      </c>
      <c r="P80" s="5" t="s">
        <v>2770</v>
      </c>
      <c r="Q80" s="5"/>
    </row>
    <row r="81" spans="1:17">
      <c r="A81" s="9">
        <v>46178</v>
      </c>
      <c r="B81" s="5" t="s">
        <v>15</v>
      </c>
      <c r="C81" s="5" t="s">
        <v>39</v>
      </c>
      <c r="D81" s="5" t="s">
        <v>15</v>
      </c>
      <c r="E81" s="5" t="s">
        <v>2370</v>
      </c>
      <c r="F81" s="5">
        <f t="shared" si="5"/>
        <v>25</v>
      </c>
      <c r="G81" s="5" t="s">
        <v>19</v>
      </c>
      <c r="H81" s="5" t="s">
        <v>20</v>
      </c>
      <c r="I81" s="5" t="s">
        <v>28</v>
      </c>
      <c r="J81" s="5" t="s">
        <v>28</v>
      </c>
      <c r="K81" s="5">
        <f t="shared" si="6"/>
        <v>4</v>
      </c>
      <c r="L81" s="5">
        <f t="shared" si="7"/>
        <v>4</v>
      </c>
      <c r="M81" s="5" t="str">
        <f t="shared" si="4"/>
        <v/>
      </c>
      <c r="N81" s="5" t="s">
        <v>2923</v>
      </c>
      <c r="O81" s="5" t="s">
        <v>2924</v>
      </c>
      <c r="P81" s="5" t="s">
        <v>100</v>
      </c>
      <c r="Q81" s="5"/>
    </row>
    <row r="82" spans="1:17">
      <c r="A82" s="9">
        <v>46178</v>
      </c>
      <c r="B82" s="5" t="s">
        <v>72</v>
      </c>
      <c r="C82" s="5" t="s">
        <v>3384</v>
      </c>
      <c r="D82" s="5" t="s">
        <v>72</v>
      </c>
      <c r="E82" s="5" t="s">
        <v>2371</v>
      </c>
      <c r="F82" s="5">
        <f t="shared" si="5"/>
        <v>21</v>
      </c>
      <c r="G82" s="5" t="s">
        <v>19</v>
      </c>
      <c r="H82" s="5" t="s">
        <v>45</v>
      </c>
      <c r="I82" s="5" t="s">
        <v>21</v>
      </c>
      <c r="J82" s="5" t="s">
        <v>21</v>
      </c>
      <c r="K82" s="5">
        <f t="shared" si="6"/>
        <v>3</v>
      </c>
      <c r="L82" s="5">
        <f t="shared" si="7"/>
        <v>3</v>
      </c>
      <c r="M82" s="5" t="str">
        <f t="shared" si="4"/>
        <v/>
      </c>
      <c r="N82" s="5" t="s">
        <v>2925</v>
      </c>
      <c r="O82" s="5" t="s">
        <v>3475</v>
      </c>
      <c r="P82" s="5" t="s">
        <v>2926</v>
      </c>
      <c r="Q82" s="5" t="s">
        <v>2927</v>
      </c>
    </row>
    <row r="83" spans="1:17">
      <c r="A83" s="9">
        <v>46178</v>
      </c>
      <c r="B83" s="5" t="s">
        <v>81</v>
      </c>
      <c r="C83" s="5" t="s">
        <v>82</v>
      </c>
      <c r="D83" s="5" t="s">
        <v>83</v>
      </c>
      <c r="E83" s="5" t="s">
        <v>2372</v>
      </c>
      <c r="F83" s="5">
        <f t="shared" si="5"/>
        <v>23</v>
      </c>
      <c r="G83" s="5" t="s">
        <v>19</v>
      </c>
      <c r="H83" s="5" t="s">
        <v>20</v>
      </c>
      <c r="I83" s="5" t="s">
        <v>28</v>
      </c>
      <c r="J83" s="5" t="s">
        <v>28</v>
      </c>
      <c r="K83" s="5">
        <f t="shared" si="6"/>
        <v>4</v>
      </c>
      <c r="L83" s="5">
        <f t="shared" si="7"/>
        <v>4</v>
      </c>
      <c r="M83" s="5" t="str">
        <f t="shared" si="4"/>
        <v/>
      </c>
      <c r="N83" s="5" t="s">
        <v>1343</v>
      </c>
      <c r="O83" s="5"/>
      <c r="P83" s="5" t="s">
        <v>1785</v>
      </c>
      <c r="Q83" s="5"/>
    </row>
    <row r="84" spans="1:17">
      <c r="A84" s="9">
        <v>46178</v>
      </c>
      <c r="B84" s="5" t="s">
        <v>15</v>
      </c>
      <c r="C84" s="5" t="s">
        <v>39</v>
      </c>
      <c r="D84" s="4" t="s">
        <v>15</v>
      </c>
      <c r="E84" s="5" t="s">
        <v>2373</v>
      </c>
      <c r="F84" s="5">
        <f t="shared" si="5"/>
        <v>24</v>
      </c>
      <c r="G84" s="5" t="s">
        <v>19</v>
      </c>
      <c r="H84" s="5" t="s">
        <v>20</v>
      </c>
      <c r="I84" s="5" t="s">
        <v>21</v>
      </c>
      <c r="J84" s="5" t="s">
        <v>21</v>
      </c>
      <c r="K84" s="5">
        <f t="shared" si="6"/>
        <v>3</v>
      </c>
      <c r="L84" s="5">
        <f t="shared" si="7"/>
        <v>3</v>
      </c>
      <c r="M84" s="5" t="str">
        <f t="shared" si="4"/>
        <v/>
      </c>
      <c r="N84" s="5" t="s">
        <v>396</v>
      </c>
      <c r="O84" s="5" t="s">
        <v>397</v>
      </c>
      <c r="P84" s="5" t="s">
        <v>398</v>
      </c>
      <c r="Q84" s="5"/>
    </row>
    <row r="85" spans="1:17">
      <c r="A85" s="9">
        <v>46178</v>
      </c>
      <c r="B85" s="5" t="s">
        <v>81</v>
      </c>
      <c r="C85" s="5" t="s">
        <v>50</v>
      </c>
      <c r="D85" s="4" t="s">
        <v>3638</v>
      </c>
      <c r="E85" s="5" t="s">
        <v>2374</v>
      </c>
      <c r="F85" s="5">
        <f t="shared" si="5"/>
        <v>42</v>
      </c>
      <c r="G85" s="5" t="s">
        <v>19</v>
      </c>
      <c r="H85" s="5" t="s">
        <v>45</v>
      </c>
      <c r="I85" s="5" t="s">
        <v>28</v>
      </c>
      <c r="J85" s="5" t="s">
        <v>28</v>
      </c>
      <c r="K85" s="5">
        <f t="shared" si="6"/>
        <v>4</v>
      </c>
      <c r="L85" s="5">
        <f t="shared" si="7"/>
        <v>4</v>
      </c>
      <c r="M85" s="5" t="str">
        <f t="shared" si="4"/>
        <v/>
      </c>
      <c r="N85" s="5" t="s">
        <v>2928</v>
      </c>
      <c r="O85" s="5"/>
      <c r="P85" s="5"/>
      <c r="Q85" s="5"/>
    </row>
    <row r="86" spans="1:17">
      <c r="A86" s="9">
        <v>46178</v>
      </c>
      <c r="B86" s="5" t="s">
        <v>81</v>
      </c>
      <c r="C86" s="5" t="s">
        <v>82</v>
      </c>
      <c r="D86" s="4" t="s">
        <v>83</v>
      </c>
      <c r="E86" s="5" t="s">
        <v>2375</v>
      </c>
      <c r="F86" s="5">
        <f t="shared" si="5"/>
        <v>33</v>
      </c>
      <c r="G86" s="5" t="s">
        <v>19</v>
      </c>
      <c r="H86" s="5" t="s">
        <v>20</v>
      </c>
      <c r="I86" s="5" t="s">
        <v>28</v>
      </c>
      <c r="J86" s="5" t="s">
        <v>21</v>
      </c>
      <c r="K86" s="5">
        <f t="shared" si="6"/>
        <v>4</v>
      </c>
      <c r="L86" s="5">
        <f t="shared" si="7"/>
        <v>3</v>
      </c>
      <c r="M86" s="5" t="str">
        <f t="shared" si="4"/>
        <v/>
      </c>
      <c r="N86" s="5" t="s">
        <v>2929</v>
      </c>
      <c r="O86" s="5"/>
      <c r="P86" s="5" t="s">
        <v>2930</v>
      </c>
      <c r="Q86" s="5"/>
    </row>
    <row r="87" spans="1:17">
      <c r="A87" s="9">
        <v>46178</v>
      </c>
      <c r="B87" s="5" t="s">
        <v>81</v>
      </c>
      <c r="C87" s="5" t="s">
        <v>50</v>
      </c>
      <c r="D87" s="4" t="s">
        <v>3640</v>
      </c>
      <c r="E87" s="5" t="s">
        <v>2376</v>
      </c>
      <c r="F87" s="5">
        <f t="shared" si="5"/>
        <v>23</v>
      </c>
      <c r="G87" s="5" t="s">
        <v>19</v>
      </c>
      <c r="H87" s="5" t="s">
        <v>20</v>
      </c>
      <c r="I87" s="5" t="s">
        <v>21</v>
      </c>
      <c r="J87" s="5" t="s">
        <v>21</v>
      </c>
      <c r="K87" s="5">
        <f t="shared" si="6"/>
        <v>3</v>
      </c>
      <c r="L87" s="5">
        <f t="shared" si="7"/>
        <v>3</v>
      </c>
      <c r="M87" s="5" t="str">
        <f t="shared" si="4"/>
        <v/>
      </c>
      <c r="N87" s="5" t="s">
        <v>405</v>
      </c>
      <c r="O87" s="5" t="s">
        <v>406</v>
      </c>
      <c r="P87" s="5" t="s">
        <v>407</v>
      </c>
      <c r="Q87" s="5"/>
    </row>
    <row r="88" spans="1:17">
      <c r="A88" s="9">
        <v>46178</v>
      </c>
      <c r="B88" s="5" t="s">
        <v>81</v>
      </c>
      <c r="C88" s="5" t="s">
        <v>50</v>
      </c>
      <c r="D88" s="4" t="s">
        <v>3640</v>
      </c>
      <c r="E88" s="5" t="s">
        <v>2771</v>
      </c>
      <c r="F88" s="5">
        <f t="shared" si="5"/>
        <v>22</v>
      </c>
      <c r="G88" s="5" t="s">
        <v>19</v>
      </c>
      <c r="H88" s="5" t="s">
        <v>20</v>
      </c>
      <c r="I88" s="5" t="s">
        <v>21</v>
      </c>
      <c r="J88" s="5" t="s">
        <v>28</v>
      </c>
      <c r="K88" s="5">
        <f t="shared" si="6"/>
        <v>3</v>
      </c>
      <c r="L88" s="5">
        <f t="shared" si="7"/>
        <v>4</v>
      </c>
      <c r="M88" s="5" t="str">
        <f t="shared" si="4"/>
        <v/>
      </c>
      <c r="N88" s="5" t="s">
        <v>2931</v>
      </c>
      <c r="O88" s="5" t="s">
        <v>2932</v>
      </c>
      <c r="P88" s="5" t="s">
        <v>2933</v>
      </c>
      <c r="Q88" s="5"/>
    </row>
    <row r="89" spans="1:17">
      <c r="A89" s="9">
        <v>46178</v>
      </c>
      <c r="B89" s="5" t="s">
        <v>15</v>
      </c>
      <c r="C89" s="5" t="s">
        <v>33</v>
      </c>
      <c r="D89" s="5" t="s">
        <v>34</v>
      </c>
      <c r="E89" s="5" t="s">
        <v>2934</v>
      </c>
      <c r="F89" s="5">
        <f t="shared" si="5"/>
        <v>38</v>
      </c>
      <c r="G89" s="5" t="s">
        <v>19</v>
      </c>
      <c r="H89" s="5" t="s">
        <v>45</v>
      </c>
      <c r="I89" s="5" t="s">
        <v>21</v>
      </c>
      <c r="J89" s="5" t="s">
        <v>21</v>
      </c>
      <c r="K89" s="5">
        <f t="shared" si="6"/>
        <v>3</v>
      </c>
      <c r="L89" s="5">
        <f t="shared" si="7"/>
        <v>3</v>
      </c>
      <c r="M89" s="5" t="str">
        <f t="shared" si="4"/>
        <v/>
      </c>
      <c r="N89" s="5" t="s">
        <v>2935</v>
      </c>
      <c r="O89" s="5" t="s">
        <v>2822</v>
      </c>
      <c r="P89" s="5" t="s">
        <v>2822</v>
      </c>
      <c r="Q89" s="5"/>
    </row>
    <row r="90" spans="1:17">
      <c r="A90" s="9">
        <v>46178</v>
      </c>
      <c r="B90" s="5" t="s">
        <v>81</v>
      </c>
      <c r="C90" s="5" t="s">
        <v>82</v>
      </c>
      <c r="D90" s="4" t="s">
        <v>3642</v>
      </c>
      <c r="E90" s="5" t="s">
        <v>2377</v>
      </c>
      <c r="F90" s="5">
        <f t="shared" si="5"/>
        <v>42</v>
      </c>
      <c r="G90" s="5" t="s">
        <v>19</v>
      </c>
      <c r="H90" s="5" t="s">
        <v>20</v>
      </c>
      <c r="I90" s="5" t="s">
        <v>28</v>
      </c>
      <c r="J90" s="5" t="s">
        <v>28</v>
      </c>
      <c r="K90" s="5">
        <f t="shared" si="6"/>
        <v>4</v>
      </c>
      <c r="L90" s="5">
        <f t="shared" si="7"/>
        <v>4</v>
      </c>
      <c r="M90" s="5" t="str">
        <f t="shared" si="4"/>
        <v/>
      </c>
      <c r="N90" s="5" t="s">
        <v>2936</v>
      </c>
      <c r="O90" s="5" t="s">
        <v>417</v>
      </c>
      <c r="P90" s="5" t="s">
        <v>418</v>
      </c>
      <c r="Q90" s="5" t="s">
        <v>419</v>
      </c>
    </row>
    <row r="91" spans="1:17">
      <c r="A91" s="9">
        <v>46178</v>
      </c>
      <c r="B91" s="5" t="s">
        <v>81</v>
      </c>
      <c r="C91" s="5" t="s">
        <v>50</v>
      </c>
      <c r="D91" s="4" t="s">
        <v>3640</v>
      </c>
      <c r="E91" s="5" t="s">
        <v>2378</v>
      </c>
      <c r="F91" s="5">
        <f t="shared" si="5"/>
        <v>51</v>
      </c>
      <c r="G91" s="5" t="s">
        <v>19</v>
      </c>
      <c r="H91" s="5" t="s">
        <v>20</v>
      </c>
      <c r="I91" s="5" t="s">
        <v>28</v>
      </c>
      <c r="J91" s="5" t="s">
        <v>28</v>
      </c>
      <c r="K91" s="5">
        <f t="shared" si="6"/>
        <v>4</v>
      </c>
      <c r="L91" s="5">
        <f t="shared" si="7"/>
        <v>4</v>
      </c>
      <c r="M91" s="5" t="str">
        <f t="shared" si="4"/>
        <v/>
      </c>
      <c r="N91" s="5" t="s">
        <v>2937</v>
      </c>
      <c r="O91" s="5" t="s">
        <v>422</v>
      </c>
      <c r="P91" s="5" t="s">
        <v>423</v>
      </c>
      <c r="Q91" s="5"/>
    </row>
    <row r="92" spans="1:17">
      <c r="A92" s="9">
        <v>46178</v>
      </c>
      <c r="B92" s="5" t="s">
        <v>111</v>
      </c>
      <c r="C92" s="5" t="s">
        <v>112</v>
      </c>
      <c r="D92" s="5" t="s">
        <v>3385</v>
      </c>
      <c r="E92" s="5" t="s">
        <v>2379</v>
      </c>
      <c r="F92" s="5">
        <f t="shared" si="5"/>
        <v>24</v>
      </c>
      <c r="G92" s="5" t="s">
        <v>19</v>
      </c>
      <c r="H92" s="5" t="s">
        <v>45</v>
      </c>
      <c r="I92" s="5" t="s">
        <v>28</v>
      </c>
      <c r="J92" s="5" t="s">
        <v>28</v>
      </c>
      <c r="K92" s="5">
        <f t="shared" si="6"/>
        <v>4</v>
      </c>
      <c r="L92" s="5">
        <f t="shared" si="7"/>
        <v>4</v>
      </c>
      <c r="M92" s="5" t="str">
        <f t="shared" si="4"/>
        <v/>
      </c>
      <c r="N92" s="5" t="s">
        <v>2938</v>
      </c>
      <c r="O92" s="5" t="s">
        <v>3476</v>
      </c>
      <c r="P92" s="5" t="s">
        <v>2939</v>
      </c>
      <c r="Q92" s="5" t="s">
        <v>2940</v>
      </c>
    </row>
    <row r="93" spans="1:17">
      <c r="A93" s="9">
        <v>46178</v>
      </c>
      <c r="B93" s="5" t="s">
        <v>25</v>
      </c>
      <c r="C93" s="5" t="s">
        <v>3380</v>
      </c>
      <c r="D93" s="5" t="s">
        <v>25</v>
      </c>
      <c r="E93" s="5" t="s">
        <v>3477</v>
      </c>
      <c r="F93" s="5">
        <f t="shared" si="5"/>
        <v>51</v>
      </c>
      <c r="G93" s="5" t="s">
        <v>19</v>
      </c>
      <c r="H93" s="5" t="s">
        <v>20</v>
      </c>
      <c r="I93" s="5" t="s">
        <v>28</v>
      </c>
      <c r="J93" s="5" t="s">
        <v>21</v>
      </c>
      <c r="K93" s="5">
        <f t="shared" si="6"/>
        <v>4</v>
      </c>
      <c r="L93" s="5">
        <f t="shared" si="7"/>
        <v>3</v>
      </c>
      <c r="M93" s="5" t="str">
        <f t="shared" si="4"/>
        <v/>
      </c>
      <c r="N93" s="5" t="s">
        <v>430</v>
      </c>
      <c r="O93" s="5"/>
      <c r="P93" s="5" t="s">
        <v>2823</v>
      </c>
      <c r="Q93" s="5" t="s">
        <v>2941</v>
      </c>
    </row>
    <row r="94" spans="1:17">
      <c r="A94" s="9">
        <v>46178</v>
      </c>
      <c r="B94" s="5" t="s">
        <v>15</v>
      </c>
      <c r="C94" s="5" t="s">
        <v>16</v>
      </c>
      <c r="D94" s="5" t="s">
        <v>17</v>
      </c>
      <c r="E94" s="5" t="s">
        <v>2380</v>
      </c>
      <c r="F94" s="5">
        <f t="shared" si="5"/>
        <v>24</v>
      </c>
      <c r="G94" s="5" t="s">
        <v>19</v>
      </c>
      <c r="H94" s="5" t="s">
        <v>20</v>
      </c>
      <c r="I94" s="5" t="s">
        <v>28</v>
      </c>
      <c r="J94" s="5" t="s">
        <v>28</v>
      </c>
      <c r="K94" s="5">
        <f t="shared" si="6"/>
        <v>4</v>
      </c>
      <c r="L94" s="5">
        <f t="shared" si="7"/>
        <v>4</v>
      </c>
      <c r="M94" s="5" t="str">
        <f t="shared" si="4"/>
        <v/>
      </c>
      <c r="N94" s="5" t="s">
        <v>2942</v>
      </c>
      <c r="O94" s="5" t="s">
        <v>2943</v>
      </c>
      <c r="P94" s="5" t="s">
        <v>2944</v>
      </c>
      <c r="Q94" s="5" t="s">
        <v>2945</v>
      </c>
    </row>
    <row r="95" spans="1:17">
      <c r="A95" s="9">
        <v>46178</v>
      </c>
      <c r="B95" s="5" t="s">
        <v>15</v>
      </c>
      <c r="C95" s="5" t="s">
        <v>33</v>
      </c>
      <c r="D95" s="5" t="s">
        <v>34</v>
      </c>
      <c r="E95" s="5" t="s">
        <v>2381</v>
      </c>
      <c r="F95" s="5">
        <f t="shared" si="5"/>
        <v>31</v>
      </c>
      <c r="G95" s="5" t="s">
        <v>19</v>
      </c>
      <c r="H95" s="5" t="s">
        <v>20</v>
      </c>
      <c r="I95" s="5" t="s">
        <v>21</v>
      </c>
      <c r="J95" s="5" t="s">
        <v>21</v>
      </c>
      <c r="K95" s="5">
        <f t="shared" si="6"/>
        <v>3</v>
      </c>
      <c r="L95" s="5">
        <f t="shared" si="7"/>
        <v>3</v>
      </c>
      <c r="M95" s="5" t="str">
        <f t="shared" si="4"/>
        <v/>
      </c>
      <c r="N95" s="5" t="s">
        <v>2946</v>
      </c>
      <c r="O95" s="5" t="s">
        <v>2772</v>
      </c>
      <c r="P95" s="5" t="s">
        <v>441</v>
      </c>
      <c r="Q95" s="5"/>
    </row>
    <row r="96" spans="1:17">
      <c r="A96" s="9">
        <v>46178</v>
      </c>
      <c r="B96" s="5" t="s">
        <v>15</v>
      </c>
      <c r="C96" s="5" t="s">
        <v>16</v>
      </c>
      <c r="D96" s="5" t="s">
        <v>17</v>
      </c>
      <c r="E96" s="5" t="s">
        <v>2382</v>
      </c>
      <c r="F96" s="5">
        <f t="shared" si="5"/>
        <v>22</v>
      </c>
      <c r="G96" s="5" t="s">
        <v>19</v>
      </c>
      <c r="H96" s="5" t="s">
        <v>20</v>
      </c>
      <c r="I96" s="5" t="s">
        <v>21</v>
      </c>
      <c r="J96" s="5" t="s">
        <v>28</v>
      </c>
      <c r="K96" s="5">
        <f t="shared" si="6"/>
        <v>3</v>
      </c>
      <c r="L96" s="5">
        <f t="shared" si="7"/>
        <v>4</v>
      </c>
      <c r="M96" s="5" t="str">
        <f t="shared" si="4"/>
        <v/>
      </c>
      <c r="N96" s="5" t="s">
        <v>443</v>
      </c>
      <c r="O96" s="5"/>
      <c r="P96" s="5"/>
      <c r="Q96" s="5"/>
    </row>
    <row r="97" spans="1:17">
      <c r="A97" s="9">
        <v>46178</v>
      </c>
      <c r="B97" s="5" t="s">
        <v>150</v>
      </c>
      <c r="C97" s="5" t="s">
        <v>3389</v>
      </c>
      <c r="D97" s="5" t="s">
        <v>150</v>
      </c>
      <c r="E97" s="5" t="s">
        <v>2947</v>
      </c>
      <c r="F97" s="5">
        <f t="shared" si="5"/>
        <v>19</v>
      </c>
      <c r="G97" s="5" t="s">
        <v>19</v>
      </c>
      <c r="H97" s="5" t="s">
        <v>20</v>
      </c>
      <c r="I97" s="5" t="s">
        <v>21</v>
      </c>
      <c r="J97" s="5" t="s">
        <v>21</v>
      </c>
      <c r="K97" s="5">
        <f t="shared" si="6"/>
        <v>3</v>
      </c>
      <c r="L97" s="5">
        <f t="shared" si="7"/>
        <v>3</v>
      </c>
      <c r="M97" s="5" t="str">
        <f t="shared" si="4"/>
        <v/>
      </c>
      <c r="N97" s="5" t="s">
        <v>2948</v>
      </c>
      <c r="O97" s="5" t="s">
        <v>2949</v>
      </c>
      <c r="P97" s="5" t="s">
        <v>3478</v>
      </c>
      <c r="Q97" s="5" t="s">
        <v>2950</v>
      </c>
    </row>
    <row r="98" spans="1:17">
      <c r="A98" s="9">
        <v>46178</v>
      </c>
      <c r="B98" s="5" t="s">
        <v>81</v>
      </c>
      <c r="C98" s="5" t="s">
        <v>50</v>
      </c>
      <c r="D98" s="4" t="s">
        <v>3640</v>
      </c>
      <c r="E98" s="5" t="s">
        <v>2383</v>
      </c>
      <c r="F98" s="5">
        <f t="shared" si="5"/>
        <v>44</v>
      </c>
      <c r="G98" s="5" t="s">
        <v>19</v>
      </c>
      <c r="H98" s="5" t="s">
        <v>20</v>
      </c>
      <c r="I98" s="5" t="s">
        <v>21</v>
      </c>
      <c r="J98" s="5" t="s">
        <v>21</v>
      </c>
      <c r="K98" s="5">
        <f t="shared" si="6"/>
        <v>3</v>
      </c>
      <c r="L98" s="5">
        <f t="shared" si="7"/>
        <v>3</v>
      </c>
      <c r="M98" s="5" t="str">
        <f t="shared" si="4"/>
        <v/>
      </c>
      <c r="N98" s="5" t="s">
        <v>2951</v>
      </c>
      <c r="O98" s="5"/>
      <c r="P98" s="5" t="s">
        <v>452</v>
      </c>
      <c r="Q98" s="5"/>
    </row>
    <row r="99" spans="1:17">
      <c r="A99" s="9">
        <v>46178</v>
      </c>
      <c r="B99" s="5" t="s">
        <v>81</v>
      </c>
      <c r="C99" s="5" t="s">
        <v>50</v>
      </c>
      <c r="D99" s="4" t="s">
        <v>3640</v>
      </c>
      <c r="E99" s="5" t="s">
        <v>2384</v>
      </c>
      <c r="F99" s="5">
        <f t="shared" si="5"/>
        <v>29</v>
      </c>
      <c r="G99" s="5" t="s">
        <v>19</v>
      </c>
      <c r="H99" s="5" t="s">
        <v>20</v>
      </c>
      <c r="I99" s="5" t="s">
        <v>28</v>
      </c>
      <c r="J99" s="5" t="s">
        <v>28</v>
      </c>
      <c r="K99" s="5">
        <f t="shared" si="6"/>
        <v>4</v>
      </c>
      <c r="L99" s="5">
        <f t="shared" si="7"/>
        <v>4</v>
      </c>
      <c r="M99" s="5" t="str">
        <f t="shared" si="4"/>
        <v/>
      </c>
      <c r="N99" s="5" t="s">
        <v>454</v>
      </c>
      <c r="O99" s="5"/>
      <c r="P99" s="5" t="s">
        <v>455</v>
      </c>
      <c r="Q99" s="5"/>
    </row>
    <row r="100" spans="1:17">
      <c r="A100" s="9">
        <v>46178</v>
      </c>
      <c r="B100" s="5" t="s">
        <v>81</v>
      </c>
      <c r="C100" s="5" t="s">
        <v>50</v>
      </c>
      <c r="D100" s="4" t="s">
        <v>3640</v>
      </c>
      <c r="E100" s="5" t="s">
        <v>2385</v>
      </c>
      <c r="F100" s="5">
        <f t="shared" si="5"/>
        <v>25</v>
      </c>
      <c r="G100" s="5" t="s">
        <v>19</v>
      </c>
      <c r="H100" s="5" t="s">
        <v>20</v>
      </c>
      <c r="I100" s="5" t="s">
        <v>21</v>
      </c>
      <c r="J100" s="5" t="s">
        <v>28</v>
      </c>
      <c r="K100" s="5">
        <f t="shared" si="6"/>
        <v>3</v>
      </c>
      <c r="L100" s="5">
        <f t="shared" si="7"/>
        <v>4</v>
      </c>
      <c r="M100" s="5" t="str">
        <f t="shared" si="4"/>
        <v/>
      </c>
      <c r="N100" s="5" t="s">
        <v>2952</v>
      </c>
      <c r="O100" s="5"/>
      <c r="P100" s="5"/>
      <c r="Q100" s="5"/>
    </row>
    <row r="101" spans="1:17">
      <c r="A101" s="9">
        <v>46178</v>
      </c>
      <c r="B101" s="5" t="s">
        <v>15</v>
      </c>
      <c r="C101" s="5" t="s">
        <v>39</v>
      </c>
      <c r="D101" s="4" t="s">
        <v>3639</v>
      </c>
      <c r="E101" s="5" t="s">
        <v>2386</v>
      </c>
      <c r="F101" s="5">
        <f t="shared" si="5"/>
        <v>24</v>
      </c>
      <c r="G101" s="5" t="s">
        <v>19</v>
      </c>
      <c r="H101" s="5" t="s">
        <v>20</v>
      </c>
      <c r="I101" s="5" t="s">
        <v>28</v>
      </c>
      <c r="J101" s="5" t="s">
        <v>28</v>
      </c>
      <c r="K101" s="5">
        <f t="shared" si="6"/>
        <v>4</v>
      </c>
      <c r="L101" s="5">
        <f t="shared" si="7"/>
        <v>4</v>
      </c>
      <c r="M101" s="5" t="str">
        <f t="shared" si="4"/>
        <v/>
      </c>
      <c r="N101" s="5" t="s">
        <v>459</v>
      </c>
      <c r="O101" s="5" t="s">
        <v>460</v>
      </c>
      <c r="P101" s="5"/>
      <c r="Q101" s="5"/>
    </row>
    <row r="102" spans="1:17">
      <c r="A102" s="9">
        <v>46178</v>
      </c>
      <c r="B102" s="5" t="s">
        <v>15</v>
      </c>
      <c r="C102" s="5" t="s">
        <v>39</v>
      </c>
      <c r="D102" s="4" t="s">
        <v>3637</v>
      </c>
      <c r="E102" s="5" t="s">
        <v>2387</v>
      </c>
      <c r="F102" s="5">
        <f t="shared" si="5"/>
        <v>26</v>
      </c>
      <c r="G102" s="5" t="s">
        <v>19</v>
      </c>
      <c r="H102" s="5" t="s">
        <v>20</v>
      </c>
      <c r="I102" s="5" t="s">
        <v>21</v>
      </c>
      <c r="J102" s="5" t="s">
        <v>21</v>
      </c>
      <c r="K102" s="5">
        <f t="shared" si="6"/>
        <v>3</v>
      </c>
      <c r="L102" s="5">
        <f t="shared" si="7"/>
        <v>3</v>
      </c>
      <c r="M102" s="5" t="str">
        <f t="shared" si="4"/>
        <v/>
      </c>
      <c r="N102" s="5" t="s">
        <v>462</v>
      </c>
      <c r="O102" s="5"/>
      <c r="P102" s="5"/>
      <c r="Q102" s="5"/>
    </row>
    <row r="103" spans="1:17">
      <c r="A103" s="9">
        <v>46178</v>
      </c>
      <c r="B103" s="5" t="s">
        <v>15</v>
      </c>
      <c r="C103" s="5" t="s">
        <v>33</v>
      </c>
      <c r="D103" s="5" t="s">
        <v>62</v>
      </c>
      <c r="E103" s="5" t="s">
        <v>2388</v>
      </c>
      <c r="F103" s="5">
        <f t="shared" si="5"/>
        <v>21</v>
      </c>
      <c r="G103" s="5" t="s">
        <v>19</v>
      </c>
      <c r="H103" s="5" t="s">
        <v>20</v>
      </c>
      <c r="I103" s="5" t="s">
        <v>28</v>
      </c>
      <c r="J103" s="5" t="s">
        <v>28</v>
      </c>
      <c r="K103" s="5">
        <f t="shared" si="6"/>
        <v>4</v>
      </c>
      <c r="L103" s="5">
        <f t="shared" si="7"/>
        <v>4</v>
      </c>
      <c r="M103" s="5" t="str">
        <f t="shared" si="4"/>
        <v/>
      </c>
      <c r="N103" s="5" t="s">
        <v>3479</v>
      </c>
      <c r="O103" s="5" t="s">
        <v>465</v>
      </c>
      <c r="P103" s="5"/>
      <c r="Q103" s="5"/>
    </row>
    <row r="104" spans="1:17">
      <c r="A104" s="9">
        <v>46178</v>
      </c>
      <c r="B104" s="5" t="s">
        <v>111</v>
      </c>
      <c r="C104" s="5" t="s">
        <v>112</v>
      </c>
      <c r="D104" s="5" t="s">
        <v>3388</v>
      </c>
      <c r="E104" s="5" t="s">
        <v>2389</v>
      </c>
      <c r="F104" s="5">
        <f t="shared" si="5"/>
        <v>30</v>
      </c>
      <c r="G104" s="5" t="s">
        <v>19</v>
      </c>
      <c r="H104" s="5" t="s">
        <v>20</v>
      </c>
      <c r="I104" s="5" t="s">
        <v>28</v>
      </c>
      <c r="J104" s="5" t="s">
        <v>28</v>
      </c>
      <c r="K104" s="5">
        <f t="shared" si="6"/>
        <v>4</v>
      </c>
      <c r="L104" s="5">
        <f t="shared" si="7"/>
        <v>4</v>
      </c>
      <c r="M104" s="5" t="str">
        <f t="shared" si="4"/>
        <v/>
      </c>
      <c r="N104" s="5" t="s">
        <v>2953</v>
      </c>
      <c r="O104" s="5" t="s">
        <v>2954</v>
      </c>
      <c r="P104" s="5" t="s">
        <v>469</v>
      </c>
      <c r="Q104" s="5"/>
    </row>
    <row r="105" spans="1:17">
      <c r="A105" s="9">
        <v>46178</v>
      </c>
      <c r="B105" s="5" t="s">
        <v>111</v>
      </c>
      <c r="C105" s="5" t="s">
        <v>112</v>
      </c>
      <c r="D105" s="5" t="s">
        <v>3388</v>
      </c>
      <c r="E105" s="5" t="s">
        <v>2390</v>
      </c>
      <c r="F105" s="5">
        <f t="shared" si="5"/>
        <v>20</v>
      </c>
      <c r="G105" s="5" t="s">
        <v>19</v>
      </c>
      <c r="H105" s="5" t="s">
        <v>45</v>
      </c>
      <c r="I105" s="5" t="s">
        <v>28</v>
      </c>
      <c r="J105" s="5" t="s">
        <v>28</v>
      </c>
      <c r="K105" s="5">
        <f t="shared" si="6"/>
        <v>4</v>
      </c>
      <c r="L105" s="5">
        <f t="shared" si="7"/>
        <v>4</v>
      </c>
      <c r="M105" s="5" t="str">
        <f t="shared" si="4"/>
        <v/>
      </c>
      <c r="N105" s="5" t="s">
        <v>2955</v>
      </c>
      <c r="O105" s="5" t="s">
        <v>2956</v>
      </c>
      <c r="P105" s="5" t="s">
        <v>2824</v>
      </c>
      <c r="Q105" s="5" t="s">
        <v>2957</v>
      </c>
    </row>
    <row r="106" spans="1:17">
      <c r="A106" s="9">
        <v>46178</v>
      </c>
      <c r="B106" s="5" t="s">
        <v>81</v>
      </c>
      <c r="C106" s="5" t="s">
        <v>82</v>
      </c>
      <c r="D106" s="4" t="s">
        <v>3643</v>
      </c>
      <c r="E106" s="5" t="s">
        <v>2391</v>
      </c>
      <c r="F106" s="5">
        <f t="shared" si="5"/>
        <v>22</v>
      </c>
      <c r="G106" s="5" t="s">
        <v>19</v>
      </c>
      <c r="H106" s="5" t="s">
        <v>20</v>
      </c>
      <c r="I106" s="5" t="s">
        <v>28</v>
      </c>
      <c r="J106" s="5" t="s">
        <v>28</v>
      </c>
      <c r="K106" s="5">
        <f t="shared" si="6"/>
        <v>4</v>
      </c>
      <c r="L106" s="5">
        <f t="shared" si="7"/>
        <v>4</v>
      </c>
      <c r="M106" s="5" t="str">
        <f t="shared" si="4"/>
        <v/>
      </c>
      <c r="N106" s="5" t="s">
        <v>477</v>
      </c>
      <c r="O106" s="5" t="s">
        <v>478</v>
      </c>
      <c r="P106" s="5" t="s">
        <v>479</v>
      </c>
      <c r="Q106" s="5"/>
    </row>
    <row r="107" spans="1:17">
      <c r="A107" s="9">
        <v>46178</v>
      </c>
      <c r="B107" s="5" t="s">
        <v>81</v>
      </c>
      <c r="C107" s="5" t="s">
        <v>50</v>
      </c>
      <c r="D107" s="4" t="s">
        <v>3640</v>
      </c>
      <c r="E107" s="5" t="s">
        <v>2392</v>
      </c>
      <c r="F107" s="5">
        <f t="shared" si="5"/>
        <v>24</v>
      </c>
      <c r="G107" s="5" t="s">
        <v>19</v>
      </c>
      <c r="H107" s="5" t="s">
        <v>20</v>
      </c>
      <c r="I107" s="5" t="s">
        <v>21</v>
      </c>
      <c r="J107" s="5" t="s">
        <v>21</v>
      </c>
      <c r="K107" s="5">
        <f t="shared" si="6"/>
        <v>3</v>
      </c>
      <c r="L107" s="5">
        <f t="shared" si="7"/>
        <v>3</v>
      </c>
      <c r="M107" s="5" t="str">
        <f t="shared" si="4"/>
        <v/>
      </c>
      <c r="N107" s="5" t="s">
        <v>481</v>
      </c>
      <c r="O107" s="5" t="s">
        <v>163</v>
      </c>
      <c r="P107" s="5" t="s">
        <v>482</v>
      </c>
      <c r="Q107" s="5" t="s">
        <v>483</v>
      </c>
    </row>
    <row r="108" spans="1:17">
      <c r="A108" s="9">
        <v>46178</v>
      </c>
      <c r="B108" s="5" t="s">
        <v>81</v>
      </c>
      <c r="C108" s="5" t="s">
        <v>82</v>
      </c>
      <c r="D108" s="4" t="s">
        <v>3643</v>
      </c>
      <c r="E108" s="5" t="s">
        <v>2393</v>
      </c>
      <c r="F108" s="5">
        <f t="shared" si="5"/>
        <v>18</v>
      </c>
      <c r="G108" s="5" t="s">
        <v>19</v>
      </c>
      <c r="H108" s="5" t="s">
        <v>20</v>
      </c>
      <c r="I108" s="5" t="s">
        <v>28</v>
      </c>
      <c r="J108" s="5" t="s">
        <v>28</v>
      </c>
      <c r="K108" s="5">
        <f t="shared" si="6"/>
        <v>4</v>
      </c>
      <c r="L108" s="5">
        <f t="shared" si="7"/>
        <v>4</v>
      </c>
      <c r="M108" s="5" t="str">
        <f t="shared" si="4"/>
        <v/>
      </c>
      <c r="N108" s="5" t="s">
        <v>485</v>
      </c>
      <c r="O108" s="5"/>
      <c r="P108" s="5"/>
      <c r="Q108" s="5"/>
    </row>
    <row r="109" spans="1:17">
      <c r="A109" s="9">
        <v>46178</v>
      </c>
      <c r="B109" s="5" t="s">
        <v>81</v>
      </c>
      <c r="C109" s="5" t="s">
        <v>82</v>
      </c>
      <c r="D109" s="5" t="s">
        <v>95</v>
      </c>
      <c r="E109" s="5" t="s">
        <v>3395</v>
      </c>
      <c r="F109" s="5">
        <f t="shared" si="5"/>
        <v>35</v>
      </c>
      <c r="G109" s="5" t="s">
        <v>19</v>
      </c>
      <c r="H109" s="5" t="s">
        <v>20</v>
      </c>
      <c r="I109" s="5" t="s">
        <v>21</v>
      </c>
      <c r="J109" s="5" t="s">
        <v>21</v>
      </c>
      <c r="K109" s="5">
        <f t="shared" si="6"/>
        <v>3</v>
      </c>
      <c r="L109" s="5">
        <f t="shared" si="7"/>
        <v>3</v>
      </c>
      <c r="M109" s="5" t="str">
        <f t="shared" si="4"/>
        <v/>
      </c>
      <c r="N109" s="5" t="s">
        <v>487</v>
      </c>
      <c r="O109" s="5"/>
      <c r="P109" s="5"/>
      <c r="Q109" s="5"/>
    </row>
    <row r="110" spans="1:17">
      <c r="A110" s="9">
        <v>46178</v>
      </c>
      <c r="B110" s="5" t="s">
        <v>81</v>
      </c>
      <c r="C110" s="5" t="s">
        <v>82</v>
      </c>
      <c r="D110" s="5" t="s">
        <v>95</v>
      </c>
      <c r="E110" s="5" t="s">
        <v>2394</v>
      </c>
      <c r="F110" s="5">
        <f t="shared" si="5"/>
        <v>42</v>
      </c>
      <c r="G110" s="5" t="s">
        <v>19</v>
      </c>
      <c r="H110" s="5" t="s">
        <v>20</v>
      </c>
      <c r="I110" s="5" t="s">
        <v>28</v>
      </c>
      <c r="J110" s="5" t="s">
        <v>28</v>
      </c>
      <c r="K110" s="5">
        <f t="shared" si="6"/>
        <v>4</v>
      </c>
      <c r="L110" s="5">
        <f t="shared" si="7"/>
        <v>4</v>
      </c>
      <c r="M110" s="5" t="str">
        <f t="shared" si="4"/>
        <v/>
      </c>
      <c r="N110" s="5" t="s">
        <v>489</v>
      </c>
      <c r="O110" s="5" t="s">
        <v>490</v>
      </c>
      <c r="P110" s="5" t="s">
        <v>491</v>
      </c>
      <c r="Q110" s="5"/>
    </row>
    <row r="111" spans="1:17">
      <c r="A111" s="9">
        <v>46178</v>
      </c>
      <c r="B111" s="5" t="s">
        <v>81</v>
      </c>
      <c r="C111" s="5" t="s">
        <v>82</v>
      </c>
      <c r="D111" s="4" t="s">
        <v>3643</v>
      </c>
      <c r="E111" s="5" t="s">
        <v>2395</v>
      </c>
      <c r="F111" s="5">
        <f t="shared" si="5"/>
        <v>20</v>
      </c>
      <c r="G111" s="5" t="s">
        <v>19</v>
      </c>
      <c r="H111" s="5" t="s">
        <v>20</v>
      </c>
      <c r="I111" s="5" t="s">
        <v>21</v>
      </c>
      <c r="J111" s="5" t="s">
        <v>21</v>
      </c>
      <c r="K111" s="5">
        <f t="shared" si="6"/>
        <v>3</v>
      </c>
      <c r="L111" s="5">
        <f t="shared" si="7"/>
        <v>3</v>
      </c>
      <c r="M111" s="5" t="str">
        <f t="shared" si="4"/>
        <v/>
      </c>
      <c r="N111" s="5" t="s">
        <v>493</v>
      </c>
      <c r="O111" s="5"/>
      <c r="P111" s="5"/>
      <c r="Q111" s="5"/>
    </row>
    <row r="112" spans="1:17">
      <c r="A112" s="9">
        <v>46178</v>
      </c>
      <c r="B112" s="5" t="s">
        <v>15</v>
      </c>
      <c r="C112" s="5" t="s">
        <v>33</v>
      </c>
      <c r="D112" s="5" t="s">
        <v>62</v>
      </c>
      <c r="E112" s="5" t="s">
        <v>2396</v>
      </c>
      <c r="F112" s="5">
        <f t="shared" si="5"/>
        <v>32</v>
      </c>
      <c r="G112" s="5" t="s">
        <v>19</v>
      </c>
      <c r="H112" s="5" t="s">
        <v>45</v>
      </c>
      <c r="I112" s="5" t="s">
        <v>28</v>
      </c>
      <c r="J112" s="5" t="s">
        <v>28</v>
      </c>
      <c r="K112" s="5">
        <f t="shared" si="6"/>
        <v>4</v>
      </c>
      <c r="L112" s="5">
        <f t="shared" si="7"/>
        <v>4</v>
      </c>
      <c r="M112" s="5" t="str">
        <f t="shared" si="4"/>
        <v/>
      </c>
      <c r="N112" s="5" t="s">
        <v>495</v>
      </c>
      <c r="O112" s="5" t="s">
        <v>3480</v>
      </c>
      <c r="P112" s="5" t="s">
        <v>3481</v>
      </c>
      <c r="Q112" s="5"/>
    </row>
    <row r="113" spans="1:17">
      <c r="A113" s="9">
        <v>46178</v>
      </c>
      <c r="B113" s="5" t="s">
        <v>81</v>
      </c>
      <c r="C113" s="5" t="s">
        <v>82</v>
      </c>
      <c r="D113" s="5" t="s">
        <v>83</v>
      </c>
      <c r="E113" s="5" t="s">
        <v>2397</v>
      </c>
      <c r="F113" s="5">
        <f t="shared" si="5"/>
        <v>21</v>
      </c>
      <c r="G113" s="5" t="s">
        <v>19</v>
      </c>
      <c r="H113" s="5" t="s">
        <v>20</v>
      </c>
      <c r="I113" s="5" t="s">
        <v>21</v>
      </c>
      <c r="J113" s="5" t="s">
        <v>21</v>
      </c>
      <c r="K113" s="5">
        <f t="shared" si="6"/>
        <v>3</v>
      </c>
      <c r="L113" s="5">
        <f t="shared" si="7"/>
        <v>3</v>
      </c>
      <c r="M113" s="5" t="str">
        <f t="shared" si="4"/>
        <v/>
      </c>
      <c r="N113" s="5" t="s">
        <v>499</v>
      </c>
      <c r="O113" s="5" t="s">
        <v>500</v>
      </c>
      <c r="P113" s="5" t="s">
        <v>3482</v>
      </c>
      <c r="Q113" s="5"/>
    </row>
    <row r="114" spans="1:17">
      <c r="A114" s="9">
        <v>46178</v>
      </c>
      <c r="B114" s="5" t="s">
        <v>81</v>
      </c>
      <c r="C114" s="5" t="s">
        <v>82</v>
      </c>
      <c r="D114" s="5" t="s">
        <v>95</v>
      </c>
      <c r="E114" s="5" t="s">
        <v>2398</v>
      </c>
      <c r="F114" s="5">
        <f t="shared" si="5"/>
        <v>23</v>
      </c>
      <c r="G114" s="5" t="s">
        <v>19</v>
      </c>
      <c r="H114" s="5" t="s">
        <v>20</v>
      </c>
      <c r="I114" s="5" t="s">
        <v>28</v>
      </c>
      <c r="J114" s="5" t="s">
        <v>28</v>
      </c>
      <c r="K114" s="5">
        <f t="shared" si="6"/>
        <v>4</v>
      </c>
      <c r="L114" s="5">
        <f t="shared" si="7"/>
        <v>4</v>
      </c>
      <c r="M114" s="5" t="str">
        <f t="shared" si="4"/>
        <v/>
      </c>
      <c r="N114" s="5" t="s">
        <v>3483</v>
      </c>
      <c r="O114" s="5" t="s">
        <v>2958</v>
      </c>
      <c r="P114" s="5" t="s">
        <v>3484</v>
      </c>
      <c r="Q114" s="5"/>
    </row>
    <row r="115" spans="1:17">
      <c r="A115" s="9">
        <v>46178</v>
      </c>
      <c r="B115" s="5" t="s">
        <v>81</v>
      </c>
      <c r="C115" s="5" t="s">
        <v>82</v>
      </c>
      <c r="D115" s="5" t="s">
        <v>83</v>
      </c>
      <c r="E115" s="5" t="s">
        <v>2399</v>
      </c>
      <c r="F115" s="5">
        <f t="shared" si="5"/>
        <v>27</v>
      </c>
      <c r="G115" s="5" t="s">
        <v>19</v>
      </c>
      <c r="H115" s="5" t="s">
        <v>20</v>
      </c>
      <c r="I115" s="5" t="s">
        <v>21</v>
      </c>
      <c r="J115" s="5" t="s">
        <v>28</v>
      </c>
      <c r="K115" s="5">
        <f t="shared" si="6"/>
        <v>3</v>
      </c>
      <c r="L115" s="5">
        <f t="shared" si="7"/>
        <v>4</v>
      </c>
      <c r="M115" s="5" t="str">
        <f t="shared" si="4"/>
        <v/>
      </c>
      <c r="N115" s="5" t="s">
        <v>3396</v>
      </c>
      <c r="O115" s="5" t="s">
        <v>3485</v>
      </c>
      <c r="P115" s="5" t="s">
        <v>3397</v>
      </c>
      <c r="Q115" s="5" t="s">
        <v>2959</v>
      </c>
    </row>
    <row r="116" spans="1:17">
      <c r="A116" s="9">
        <v>46178</v>
      </c>
      <c r="B116" s="5" t="s">
        <v>81</v>
      </c>
      <c r="C116" s="5" t="s">
        <v>50</v>
      </c>
      <c r="D116" s="4" t="s">
        <v>3640</v>
      </c>
      <c r="E116" s="5" t="s">
        <v>2400</v>
      </c>
      <c r="F116" s="5">
        <f t="shared" si="5"/>
        <v>23</v>
      </c>
      <c r="G116" s="5" t="s">
        <v>19</v>
      </c>
      <c r="H116" s="5" t="s">
        <v>20</v>
      </c>
      <c r="I116" s="5" t="s">
        <v>28</v>
      </c>
      <c r="J116" s="5" t="s">
        <v>28</v>
      </c>
      <c r="K116" s="5">
        <f t="shared" si="6"/>
        <v>4</v>
      </c>
      <c r="L116" s="5">
        <f t="shared" si="7"/>
        <v>4</v>
      </c>
      <c r="M116" s="5" t="str">
        <f t="shared" si="4"/>
        <v/>
      </c>
      <c r="N116" s="5" t="s">
        <v>512</v>
      </c>
      <c r="O116" s="5" t="s">
        <v>513</v>
      </c>
      <c r="P116" s="5" t="s">
        <v>3486</v>
      </c>
      <c r="Q116" s="5"/>
    </row>
    <row r="117" spans="1:17">
      <c r="A117" s="9">
        <v>46178</v>
      </c>
      <c r="B117" s="5" t="s">
        <v>81</v>
      </c>
      <c r="C117" s="5" t="s">
        <v>50</v>
      </c>
      <c r="D117" s="4" t="s">
        <v>3640</v>
      </c>
      <c r="E117" s="5" t="s">
        <v>2401</v>
      </c>
      <c r="F117" s="5">
        <f t="shared" si="5"/>
        <v>42</v>
      </c>
      <c r="G117" s="5" t="s">
        <v>19</v>
      </c>
      <c r="H117" s="5" t="s">
        <v>45</v>
      </c>
      <c r="I117" s="5" t="s">
        <v>21</v>
      </c>
      <c r="J117" s="5" t="s">
        <v>28</v>
      </c>
      <c r="K117" s="5">
        <f t="shared" si="6"/>
        <v>3</v>
      </c>
      <c r="L117" s="5">
        <f t="shared" si="7"/>
        <v>4</v>
      </c>
      <c r="M117" s="5" t="str">
        <f t="shared" si="4"/>
        <v/>
      </c>
      <c r="N117" s="5" t="s">
        <v>3487</v>
      </c>
      <c r="O117" s="5" t="s">
        <v>517</v>
      </c>
      <c r="P117" s="5" t="s">
        <v>518</v>
      </c>
      <c r="Q117" s="5"/>
    </row>
    <row r="118" spans="1:17">
      <c r="A118" s="9">
        <v>46178</v>
      </c>
      <c r="B118" s="5" t="s">
        <v>81</v>
      </c>
      <c r="C118" s="5" t="s">
        <v>82</v>
      </c>
      <c r="D118" s="5" t="s">
        <v>83</v>
      </c>
      <c r="E118" s="5" t="s">
        <v>2960</v>
      </c>
      <c r="F118" s="5">
        <f t="shared" si="5"/>
        <v>26</v>
      </c>
      <c r="G118" s="5" t="s">
        <v>19</v>
      </c>
      <c r="H118" s="5" t="s">
        <v>20</v>
      </c>
      <c r="I118" s="5" t="s">
        <v>21</v>
      </c>
      <c r="J118" s="5" t="s">
        <v>21</v>
      </c>
      <c r="K118" s="5">
        <f t="shared" si="6"/>
        <v>3</v>
      </c>
      <c r="L118" s="5">
        <f t="shared" si="7"/>
        <v>3</v>
      </c>
      <c r="M118" s="5" t="str">
        <f t="shared" si="4"/>
        <v/>
      </c>
      <c r="N118" s="5" t="s">
        <v>2961</v>
      </c>
      <c r="O118" s="5" t="s">
        <v>2962</v>
      </c>
      <c r="P118" s="5" t="s">
        <v>2963</v>
      </c>
      <c r="Q118" s="5" t="s">
        <v>2964</v>
      </c>
    </row>
    <row r="119" spans="1:17">
      <c r="A119" s="9">
        <v>46178</v>
      </c>
      <c r="B119" s="5" t="s">
        <v>81</v>
      </c>
      <c r="C119" s="5" t="s">
        <v>82</v>
      </c>
      <c r="D119" s="5" t="s">
        <v>95</v>
      </c>
      <c r="E119" s="5" t="s">
        <v>2402</v>
      </c>
      <c r="F119" s="5">
        <f t="shared" si="5"/>
        <v>22</v>
      </c>
      <c r="G119" s="5" t="s">
        <v>19</v>
      </c>
      <c r="H119" s="5" t="s">
        <v>20</v>
      </c>
      <c r="I119" s="5" t="s">
        <v>21</v>
      </c>
      <c r="J119" s="5" t="s">
        <v>28</v>
      </c>
      <c r="K119" s="5">
        <f t="shared" si="6"/>
        <v>3</v>
      </c>
      <c r="L119" s="5">
        <f t="shared" si="7"/>
        <v>4</v>
      </c>
      <c r="M119" s="5" t="str">
        <f t="shared" si="4"/>
        <v/>
      </c>
      <c r="N119" s="5" t="s">
        <v>3488</v>
      </c>
      <c r="O119" s="5" t="s">
        <v>2757</v>
      </c>
      <c r="P119" s="5"/>
      <c r="Q119" s="5"/>
    </row>
    <row r="120" spans="1:17">
      <c r="A120" s="9">
        <v>46178</v>
      </c>
      <c r="B120" s="5" t="s">
        <v>81</v>
      </c>
      <c r="C120" s="5" t="s">
        <v>82</v>
      </c>
      <c r="D120" s="5" t="s">
        <v>83</v>
      </c>
      <c r="E120" s="5" t="s">
        <v>2403</v>
      </c>
      <c r="F120" s="5">
        <f t="shared" si="5"/>
        <v>25</v>
      </c>
      <c r="G120" s="5" t="s">
        <v>19</v>
      </c>
      <c r="H120" s="5" t="s">
        <v>20</v>
      </c>
      <c r="I120" s="5" t="s">
        <v>21</v>
      </c>
      <c r="J120" s="5" t="s">
        <v>21</v>
      </c>
      <c r="K120" s="5">
        <f t="shared" si="6"/>
        <v>3</v>
      </c>
      <c r="L120" s="5">
        <f t="shared" si="7"/>
        <v>3</v>
      </c>
      <c r="M120" s="5" t="str">
        <f t="shared" si="4"/>
        <v/>
      </c>
      <c r="N120" s="5" t="s">
        <v>528</v>
      </c>
      <c r="O120" s="5"/>
      <c r="P120" s="5"/>
      <c r="Q120" s="5"/>
    </row>
    <row r="121" spans="1:17">
      <c r="A121" s="9">
        <v>46178</v>
      </c>
      <c r="B121" s="5" t="s">
        <v>81</v>
      </c>
      <c r="C121" s="5" t="s">
        <v>82</v>
      </c>
      <c r="D121" s="5" t="s">
        <v>95</v>
      </c>
      <c r="E121" s="5" t="s">
        <v>2404</v>
      </c>
      <c r="F121" s="5">
        <f t="shared" si="5"/>
        <v>44</v>
      </c>
      <c r="G121" s="5" t="s">
        <v>19</v>
      </c>
      <c r="H121" s="5" t="s">
        <v>20</v>
      </c>
      <c r="I121" s="5" t="s">
        <v>21</v>
      </c>
      <c r="J121" s="5" t="s">
        <v>21</v>
      </c>
      <c r="K121" s="5">
        <f t="shared" si="6"/>
        <v>3</v>
      </c>
      <c r="L121" s="5">
        <f t="shared" si="7"/>
        <v>3</v>
      </c>
      <c r="M121" s="5" t="str">
        <f t="shared" si="4"/>
        <v/>
      </c>
      <c r="N121" s="5" t="s">
        <v>2965</v>
      </c>
      <c r="O121" s="5" t="s">
        <v>3489</v>
      </c>
      <c r="P121" s="5" t="s">
        <v>3398</v>
      </c>
      <c r="Q121" s="5"/>
    </row>
    <row r="122" spans="1:17">
      <c r="A122" s="9">
        <v>46178</v>
      </c>
      <c r="B122" s="5" t="s">
        <v>81</v>
      </c>
      <c r="C122" s="5" t="s">
        <v>82</v>
      </c>
      <c r="D122" s="4" t="s">
        <v>3643</v>
      </c>
      <c r="E122" s="5" t="s">
        <v>2966</v>
      </c>
      <c r="F122" s="5">
        <f t="shared" si="5"/>
        <v>33</v>
      </c>
      <c r="G122" s="5" t="s">
        <v>19</v>
      </c>
      <c r="H122" s="5" t="s">
        <v>20</v>
      </c>
      <c r="I122" s="5" t="s">
        <v>21</v>
      </c>
      <c r="J122" s="5" t="s">
        <v>21</v>
      </c>
      <c r="K122" s="5">
        <f t="shared" si="6"/>
        <v>3</v>
      </c>
      <c r="L122" s="5">
        <f t="shared" si="7"/>
        <v>3</v>
      </c>
      <c r="M122" s="5" t="str">
        <f t="shared" si="4"/>
        <v/>
      </c>
      <c r="N122" s="5" t="s">
        <v>534</v>
      </c>
      <c r="O122" s="5" t="s">
        <v>535</v>
      </c>
      <c r="P122" s="5" t="s">
        <v>2825</v>
      </c>
      <c r="Q122" s="5"/>
    </row>
    <row r="123" spans="1:17">
      <c r="A123" s="9">
        <v>46178</v>
      </c>
      <c r="B123" s="5" t="s">
        <v>72</v>
      </c>
      <c r="C123" s="5" t="s">
        <v>3384</v>
      </c>
      <c r="D123" s="5" t="s">
        <v>72</v>
      </c>
      <c r="E123" s="5" t="s">
        <v>2967</v>
      </c>
      <c r="F123" s="5">
        <f t="shared" si="5"/>
        <v>29</v>
      </c>
      <c r="G123" s="5" t="s">
        <v>19</v>
      </c>
      <c r="H123" s="5" t="s">
        <v>45</v>
      </c>
      <c r="I123" s="5" t="s">
        <v>28</v>
      </c>
      <c r="J123" s="5" t="s">
        <v>28</v>
      </c>
      <c r="K123" s="5">
        <f t="shared" si="6"/>
        <v>4</v>
      </c>
      <c r="L123" s="5">
        <f t="shared" si="7"/>
        <v>4</v>
      </c>
      <c r="M123" s="5" t="str">
        <f t="shared" si="4"/>
        <v/>
      </c>
      <c r="N123" s="5" t="s">
        <v>3399</v>
      </c>
      <c r="O123" s="5" t="s">
        <v>2773</v>
      </c>
      <c r="P123" s="5" t="s">
        <v>2774</v>
      </c>
      <c r="Q123" s="5" t="s">
        <v>541</v>
      </c>
    </row>
    <row r="124" spans="1:17">
      <c r="A124" s="9">
        <v>46178</v>
      </c>
      <c r="B124" s="5" t="s">
        <v>81</v>
      </c>
      <c r="C124" s="5" t="s">
        <v>82</v>
      </c>
      <c r="D124" s="5" t="s">
        <v>95</v>
      </c>
      <c r="E124" s="5" t="s">
        <v>2405</v>
      </c>
      <c r="F124" s="5">
        <f t="shared" si="5"/>
        <v>21</v>
      </c>
      <c r="G124" s="5" t="s">
        <v>19</v>
      </c>
      <c r="H124" s="5" t="s">
        <v>20</v>
      </c>
      <c r="I124" s="5" t="s">
        <v>28</v>
      </c>
      <c r="J124" s="5" t="s">
        <v>28</v>
      </c>
      <c r="K124" s="5">
        <f t="shared" si="6"/>
        <v>4</v>
      </c>
      <c r="L124" s="5">
        <f t="shared" si="7"/>
        <v>4</v>
      </c>
      <c r="M124" s="5" t="str">
        <f t="shared" si="4"/>
        <v/>
      </c>
      <c r="N124" s="5" t="s">
        <v>543</v>
      </c>
      <c r="O124" s="5" t="s">
        <v>2968</v>
      </c>
      <c r="P124" s="5" t="s">
        <v>545</v>
      </c>
      <c r="Q124" s="5"/>
    </row>
    <row r="125" spans="1:17">
      <c r="A125" s="9">
        <v>46178</v>
      </c>
      <c r="B125" s="5" t="s">
        <v>81</v>
      </c>
      <c r="C125" s="5" t="s">
        <v>82</v>
      </c>
      <c r="D125" s="5" t="s">
        <v>95</v>
      </c>
      <c r="E125" s="5" t="s">
        <v>2406</v>
      </c>
      <c r="F125" s="5">
        <f t="shared" si="5"/>
        <v>28</v>
      </c>
      <c r="G125" s="5" t="s">
        <v>19</v>
      </c>
      <c r="H125" s="5" t="s">
        <v>20</v>
      </c>
      <c r="I125" s="5" t="s">
        <v>21</v>
      </c>
      <c r="J125" s="5" t="s">
        <v>21</v>
      </c>
      <c r="K125" s="5">
        <f t="shared" si="6"/>
        <v>3</v>
      </c>
      <c r="L125" s="5">
        <f t="shared" si="7"/>
        <v>3</v>
      </c>
      <c r="M125" s="5" t="str">
        <f t="shared" si="4"/>
        <v/>
      </c>
      <c r="N125" s="5" t="s">
        <v>3490</v>
      </c>
      <c r="O125" s="5" t="s">
        <v>3491</v>
      </c>
      <c r="P125" s="5" t="s">
        <v>2969</v>
      </c>
      <c r="Q125" s="5"/>
    </row>
    <row r="126" spans="1:17">
      <c r="A126" s="9">
        <v>46178</v>
      </c>
      <c r="B126" s="5" t="s">
        <v>81</v>
      </c>
      <c r="C126" s="5" t="s">
        <v>82</v>
      </c>
      <c r="D126" s="5" t="s">
        <v>95</v>
      </c>
      <c r="E126" s="5" t="s">
        <v>2407</v>
      </c>
      <c r="F126" s="5">
        <f t="shared" si="5"/>
        <v>50</v>
      </c>
      <c r="G126" s="5" t="s">
        <v>19</v>
      </c>
      <c r="H126" s="5" t="s">
        <v>20</v>
      </c>
      <c r="I126" s="5" t="s">
        <v>21</v>
      </c>
      <c r="J126" s="5" t="s">
        <v>28</v>
      </c>
      <c r="K126" s="5">
        <f t="shared" si="6"/>
        <v>3</v>
      </c>
      <c r="L126" s="5">
        <f t="shared" si="7"/>
        <v>4</v>
      </c>
      <c r="M126" s="5" t="str">
        <f t="shared" si="4"/>
        <v/>
      </c>
      <c r="N126" s="5" t="s">
        <v>2970</v>
      </c>
      <c r="O126" s="5"/>
      <c r="P126" s="5" t="s">
        <v>552</v>
      </c>
      <c r="Q126" s="5"/>
    </row>
    <row r="127" spans="1:17">
      <c r="A127" s="9">
        <v>46178</v>
      </c>
      <c r="B127" s="5" t="s">
        <v>15</v>
      </c>
      <c r="C127" s="5" t="s">
        <v>33</v>
      </c>
      <c r="D127" s="5" t="s">
        <v>553</v>
      </c>
      <c r="E127" s="5" t="s">
        <v>2408</v>
      </c>
      <c r="F127" s="5">
        <f t="shared" si="5"/>
        <v>34</v>
      </c>
      <c r="G127" s="5" t="s">
        <v>19</v>
      </c>
      <c r="H127" s="5" t="s">
        <v>20</v>
      </c>
      <c r="I127" s="5" t="s">
        <v>21</v>
      </c>
      <c r="J127" s="5" t="s">
        <v>21</v>
      </c>
      <c r="K127" s="5">
        <f t="shared" si="6"/>
        <v>3</v>
      </c>
      <c r="L127" s="5">
        <f t="shared" si="7"/>
        <v>3</v>
      </c>
      <c r="M127" s="5" t="str">
        <f t="shared" si="4"/>
        <v/>
      </c>
      <c r="N127" s="5" t="s">
        <v>2971</v>
      </c>
      <c r="O127" s="5" t="s">
        <v>3492</v>
      </c>
      <c r="P127" s="5"/>
      <c r="Q127" s="5"/>
    </row>
    <row r="128" spans="1:17">
      <c r="A128" s="9">
        <v>46178</v>
      </c>
      <c r="B128" s="5" t="s">
        <v>81</v>
      </c>
      <c r="C128" s="5" t="s">
        <v>50</v>
      </c>
      <c r="D128" s="4" t="s">
        <v>3641</v>
      </c>
      <c r="E128" s="5" t="s">
        <v>2409</v>
      </c>
      <c r="F128" s="5">
        <f t="shared" si="5"/>
        <v>32</v>
      </c>
      <c r="G128" s="5" t="s">
        <v>19</v>
      </c>
      <c r="H128" s="5" t="s">
        <v>20</v>
      </c>
      <c r="I128" s="5" t="s">
        <v>28</v>
      </c>
      <c r="J128" s="5" t="s">
        <v>28</v>
      </c>
      <c r="K128" s="5">
        <f t="shared" si="6"/>
        <v>4</v>
      </c>
      <c r="L128" s="5">
        <f t="shared" si="7"/>
        <v>4</v>
      </c>
      <c r="M128" s="5" t="str">
        <f t="shared" si="4"/>
        <v/>
      </c>
      <c r="N128" s="5" t="s">
        <v>2972</v>
      </c>
      <c r="O128" s="5"/>
      <c r="P128" s="5"/>
      <c r="Q128" s="5"/>
    </row>
    <row r="129" spans="1:17">
      <c r="A129" s="9">
        <v>46178</v>
      </c>
      <c r="B129" s="5" t="s">
        <v>111</v>
      </c>
      <c r="C129" s="5" t="s">
        <v>112</v>
      </c>
      <c r="D129" s="5" t="s">
        <v>3388</v>
      </c>
      <c r="E129" s="5" t="s">
        <v>2973</v>
      </c>
      <c r="F129" s="5">
        <f t="shared" si="5"/>
        <v>38</v>
      </c>
      <c r="G129" s="5" t="s">
        <v>19</v>
      </c>
      <c r="H129" s="5" t="s">
        <v>45</v>
      </c>
      <c r="I129" s="5" t="s">
        <v>21</v>
      </c>
      <c r="J129" s="5" t="s">
        <v>28</v>
      </c>
      <c r="K129" s="5">
        <f t="shared" si="6"/>
        <v>3</v>
      </c>
      <c r="L129" s="5">
        <f t="shared" si="7"/>
        <v>4</v>
      </c>
      <c r="M129" s="5" t="str">
        <f t="shared" si="4"/>
        <v/>
      </c>
      <c r="N129" s="5" t="s">
        <v>3493</v>
      </c>
      <c r="O129" s="5" t="s">
        <v>561</v>
      </c>
      <c r="P129" s="5" t="s">
        <v>562</v>
      </c>
      <c r="Q129" s="5"/>
    </row>
    <row r="130" spans="1:17">
      <c r="A130" s="9">
        <v>46178</v>
      </c>
      <c r="B130" s="5" t="s">
        <v>81</v>
      </c>
      <c r="C130" s="5" t="s">
        <v>82</v>
      </c>
      <c r="D130" s="5" t="s">
        <v>95</v>
      </c>
      <c r="E130" s="5" t="s">
        <v>2410</v>
      </c>
      <c r="F130" s="5">
        <f t="shared" si="5"/>
        <v>46</v>
      </c>
      <c r="G130" s="5" t="s">
        <v>19</v>
      </c>
      <c r="H130" s="5" t="s">
        <v>20</v>
      </c>
      <c r="I130" s="5" t="s">
        <v>28</v>
      </c>
      <c r="J130" s="5" t="s">
        <v>21</v>
      </c>
      <c r="K130" s="5">
        <f t="shared" si="6"/>
        <v>4</v>
      </c>
      <c r="L130" s="5">
        <f t="shared" si="7"/>
        <v>3</v>
      </c>
      <c r="M130" s="5" t="str">
        <f t="shared" ref="M130:M193" si="8">IF(OR(I130="Poor",I130="Very Poor"),"YES","")</f>
        <v/>
      </c>
      <c r="N130" s="5" t="s">
        <v>2974</v>
      </c>
      <c r="O130" s="5" t="s">
        <v>3494</v>
      </c>
      <c r="P130" s="5" t="s">
        <v>3495</v>
      </c>
      <c r="Q130" s="5"/>
    </row>
    <row r="131" spans="1:17">
      <c r="A131" s="9">
        <v>46178</v>
      </c>
      <c r="B131" s="5" t="s">
        <v>81</v>
      </c>
      <c r="C131" s="5" t="s">
        <v>82</v>
      </c>
      <c r="D131" s="4" t="s">
        <v>3643</v>
      </c>
      <c r="E131" s="5" t="s">
        <v>2411</v>
      </c>
      <c r="F131" s="5">
        <f t="shared" ref="F131:F194" si="9">LEN(E131)</f>
        <v>20</v>
      </c>
      <c r="G131" s="5" t="s">
        <v>19</v>
      </c>
      <c r="H131" s="5" t="s">
        <v>20</v>
      </c>
      <c r="I131" s="5" t="s">
        <v>21</v>
      </c>
      <c r="J131" s="5" t="s">
        <v>21</v>
      </c>
      <c r="K131" s="5">
        <f t="shared" ref="K131:K194" si="10">IF(I131="Very Good",4,IF(I131="Good",3,IF(I131="Poor",2,IF(I131="Very Poor",1,""))))</f>
        <v>3</v>
      </c>
      <c r="L131" s="5">
        <f t="shared" ref="L131:L194" si="11">IF(J131="Very Good",4,IF(J131="Good",3,IF(J131="Poor",2,IF(J131="Very Poor",1,""))))</f>
        <v>3</v>
      </c>
      <c r="M131" s="5" t="str">
        <f t="shared" si="8"/>
        <v/>
      </c>
      <c r="N131" s="5" t="s">
        <v>2975</v>
      </c>
      <c r="O131" s="5" t="s">
        <v>2976</v>
      </c>
      <c r="P131" s="5" t="s">
        <v>2977</v>
      </c>
      <c r="Q131" s="5"/>
    </row>
    <row r="132" spans="1:17">
      <c r="A132" s="9">
        <v>46178</v>
      </c>
      <c r="B132" s="5" t="s">
        <v>111</v>
      </c>
      <c r="C132" s="5" t="s">
        <v>112</v>
      </c>
      <c r="D132" s="5" t="s">
        <v>3388</v>
      </c>
      <c r="E132" s="5" t="s">
        <v>2412</v>
      </c>
      <c r="F132" s="5">
        <f t="shared" si="9"/>
        <v>22</v>
      </c>
      <c r="G132" s="5" t="s">
        <v>19</v>
      </c>
      <c r="H132" s="5" t="s">
        <v>20</v>
      </c>
      <c r="I132" s="5" t="s">
        <v>21</v>
      </c>
      <c r="J132" s="5" t="s">
        <v>21</v>
      </c>
      <c r="K132" s="5">
        <f t="shared" si="10"/>
        <v>3</v>
      </c>
      <c r="L132" s="5">
        <f t="shared" si="11"/>
        <v>3</v>
      </c>
      <c r="M132" s="5" t="str">
        <f t="shared" si="8"/>
        <v/>
      </c>
      <c r="N132" s="5" t="s">
        <v>572</v>
      </c>
      <c r="O132" s="5" t="s">
        <v>573</v>
      </c>
      <c r="P132" s="5" t="s">
        <v>574</v>
      </c>
      <c r="Q132" s="5" t="s">
        <v>2978</v>
      </c>
    </row>
    <row r="133" spans="1:17">
      <c r="A133" s="9">
        <v>46178</v>
      </c>
      <c r="B133" s="5" t="s">
        <v>81</v>
      </c>
      <c r="C133" s="5" t="s">
        <v>82</v>
      </c>
      <c r="D133" s="4" t="s">
        <v>3643</v>
      </c>
      <c r="E133" s="5" t="s">
        <v>2979</v>
      </c>
      <c r="F133" s="5">
        <f t="shared" si="9"/>
        <v>41</v>
      </c>
      <c r="G133" s="5" t="s">
        <v>19</v>
      </c>
      <c r="H133" s="5" t="s">
        <v>20</v>
      </c>
      <c r="I133" s="5" t="s">
        <v>28</v>
      </c>
      <c r="J133" s="5" t="s">
        <v>28</v>
      </c>
      <c r="K133" s="5">
        <f t="shared" si="10"/>
        <v>4</v>
      </c>
      <c r="L133" s="5">
        <f t="shared" si="11"/>
        <v>4</v>
      </c>
      <c r="M133" s="5" t="str">
        <f t="shared" si="8"/>
        <v/>
      </c>
      <c r="N133" s="5" t="s">
        <v>577</v>
      </c>
      <c r="O133" s="5" t="s">
        <v>578</v>
      </c>
      <c r="P133" s="5"/>
      <c r="Q133" s="5"/>
    </row>
    <row r="134" spans="1:17">
      <c r="A134" s="9">
        <v>46178</v>
      </c>
      <c r="B134" s="5" t="s">
        <v>81</v>
      </c>
      <c r="C134" s="5" t="s">
        <v>82</v>
      </c>
      <c r="D134" s="4" t="s">
        <v>3643</v>
      </c>
      <c r="E134" s="5" t="s">
        <v>2413</v>
      </c>
      <c r="F134" s="5">
        <f t="shared" si="9"/>
        <v>18</v>
      </c>
      <c r="G134" s="5" t="s">
        <v>19</v>
      </c>
      <c r="H134" s="5" t="s">
        <v>20</v>
      </c>
      <c r="I134" s="5" t="s">
        <v>21</v>
      </c>
      <c r="J134" s="5" t="s">
        <v>21</v>
      </c>
      <c r="K134" s="5">
        <f t="shared" si="10"/>
        <v>3</v>
      </c>
      <c r="L134" s="5">
        <f t="shared" si="11"/>
        <v>3</v>
      </c>
      <c r="M134" s="5" t="str">
        <f t="shared" si="8"/>
        <v/>
      </c>
      <c r="N134" s="5" t="s">
        <v>2980</v>
      </c>
      <c r="O134" s="5" t="s">
        <v>2981</v>
      </c>
      <c r="P134" s="5" t="s">
        <v>582</v>
      </c>
      <c r="Q134" s="5" t="s">
        <v>2982</v>
      </c>
    </row>
    <row r="135" spans="1:17">
      <c r="A135" s="9">
        <v>46178</v>
      </c>
      <c r="B135" s="5" t="s">
        <v>81</v>
      </c>
      <c r="C135" s="5" t="s">
        <v>50</v>
      </c>
      <c r="D135" s="4" t="s">
        <v>3640</v>
      </c>
      <c r="E135" s="5" t="s">
        <v>2414</v>
      </c>
      <c r="F135" s="5">
        <f t="shared" si="9"/>
        <v>46</v>
      </c>
      <c r="G135" s="5" t="s">
        <v>19</v>
      </c>
      <c r="H135" s="5" t="s">
        <v>20</v>
      </c>
      <c r="I135" s="5" t="s">
        <v>21</v>
      </c>
      <c r="J135" s="5" t="s">
        <v>21</v>
      </c>
      <c r="K135" s="5">
        <f t="shared" si="10"/>
        <v>3</v>
      </c>
      <c r="L135" s="5">
        <f t="shared" si="11"/>
        <v>3</v>
      </c>
      <c r="M135" s="5" t="str">
        <f t="shared" si="8"/>
        <v/>
      </c>
      <c r="N135" s="5" t="s">
        <v>585</v>
      </c>
      <c r="O135" s="5" t="s">
        <v>586</v>
      </c>
      <c r="P135" s="5" t="s">
        <v>587</v>
      </c>
      <c r="Q135" s="5"/>
    </row>
    <row r="136" spans="1:17">
      <c r="A136" s="9">
        <v>46178</v>
      </c>
      <c r="B136" s="5" t="s">
        <v>81</v>
      </c>
      <c r="C136" s="5" t="s">
        <v>50</v>
      </c>
      <c r="D136" s="4" t="s">
        <v>3640</v>
      </c>
      <c r="E136" s="5" t="s">
        <v>2415</v>
      </c>
      <c r="F136" s="5">
        <f t="shared" si="9"/>
        <v>47</v>
      </c>
      <c r="G136" s="5" t="s">
        <v>19</v>
      </c>
      <c r="H136" s="5" t="s">
        <v>20</v>
      </c>
      <c r="I136" s="5" t="s">
        <v>21</v>
      </c>
      <c r="J136" s="5" t="s">
        <v>28</v>
      </c>
      <c r="K136" s="5">
        <f t="shared" si="10"/>
        <v>3</v>
      </c>
      <c r="L136" s="5">
        <f t="shared" si="11"/>
        <v>4</v>
      </c>
      <c r="M136" s="5" t="str">
        <f t="shared" si="8"/>
        <v/>
      </c>
      <c r="N136" s="5" t="s">
        <v>2983</v>
      </c>
      <c r="O136" s="5" t="s">
        <v>3496</v>
      </c>
      <c r="P136" s="5" t="s">
        <v>2984</v>
      </c>
      <c r="Q136" s="5" t="s">
        <v>2985</v>
      </c>
    </row>
    <row r="137" spans="1:17">
      <c r="A137" s="9">
        <v>46178</v>
      </c>
      <c r="B137" s="5" t="s">
        <v>81</v>
      </c>
      <c r="C137" s="5" t="s">
        <v>82</v>
      </c>
      <c r="D137" s="5" t="s">
        <v>3394</v>
      </c>
      <c r="E137" s="5" t="s">
        <v>2416</v>
      </c>
      <c r="F137" s="5">
        <f t="shared" si="9"/>
        <v>17</v>
      </c>
      <c r="G137" s="5" t="s">
        <v>19</v>
      </c>
      <c r="H137" s="5" t="s">
        <v>20</v>
      </c>
      <c r="I137" s="5" t="s">
        <v>28</v>
      </c>
      <c r="J137" s="5" t="s">
        <v>21</v>
      </c>
      <c r="K137" s="5">
        <f t="shared" si="10"/>
        <v>4</v>
      </c>
      <c r="L137" s="5">
        <f t="shared" si="11"/>
        <v>3</v>
      </c>
      <c r="M137" s="5" t="str">
        <f t="shared" si="8"/>
        <v/>
      </c>
      <c r="N137" s="5" t="s">
        <v>594</v>
      </c>
      <c r="O137" s="5"/>
      <c r="P137" s="5" t="s">
        <v>2775</v>
      </c>
      <c r="Q137" s="5"/>
    </row>
    <row r="138" spans="1:17">
      <c r="A138" s="9">
        <v>46178</v>
      </c>
      <c r="B138" s="5" t="s">
        <v>15</v>
      </c>
      <c r="C138" s="5" t="s">
        <v>33</v>
      </c>
      <c r="D138" s="5" t="s">
        <v>34</v>
      </c>
      <c r="E138" s="5" t="s">
        <v>2417</v>
      </c>
      <c r="F138" s="5">
        <f t="shared" si="9"/>
        <v>33</v>
      </c>
      <c r="G138" s="5" t="s">
        <v>19</v>
      </c>
      <c r="H138" s="5" t="s">
        <v>20</v>
      </c>
      <c r="I138" s="5" t="s">
        <v>21</v>
      </c>
      <c r="J138" s="5" t="s">
        <v>21</v>
      </c>
      <c r="K138" s="5">
        <f t="shared" si="10"/>
        <v>3</v>
      </c>
      <c r="L138" s="5">
        <f t="shared" si="11"/>
        <v>3</v>
      </c>
      <c r="M138" s="5" t="str">
        <f t="shared" si="8"/>
        <v/>
      </c>
      <c r="N138" s="5" t="s">
        <v>3497</v>
      </c>
      <c r="O138" s="5" t="s">
        <v>598</v>
      </c>
      <c r="P138" s="5" t="s">
        <v>599</v>
      </c>
      <c r="Q138" s="5"/>
    </row>
    <row r="139" spans="1:17">
      <c r="A139" s="9">
        <v>46178</v>
      </c>
      <c r="B139" s="5" t="s">
        <v>81</v>
      </c>
      <c r="C139" s="5" t="s">
        <v>82</v>
      </c>
      <c r="D139" s="5" t="s">
        <v>83</v>
      </c>
      <c r="E139" s="5" t="s">
        <v>2418</v>
      </c>
      <c r="F139" s="5">
        <f t="shared" si="9"/>
        <v>31</v>
      </c>
      <c r="G139" s="5" t="s">
        <v>19</v>
      </c>
      <c r="H139" s="5" t="s">
        <v>20</v>
      </c>
      <c r="I139" s="5" t="s">
        <v>21</v>
      </c>
      <c r="J139" s="5" t="s">
        <v>28</v>
      </c>
      <c r="K139" s="5">
        <f t="shared" si="10"/>
        <v>3</v>
      </c>
      <c r="L139" s="5">
        <f t="shared" si="11"/>
        <v>4</v>
      </c>
      <c r="M139" s="5" t="str">
        <f t="shared" si="8"/>
        <v/>
      </c>
      <c r="N139" s="5" t="s">
        <v>2986</v>
      </c>
      <c r="O139" s="5" t="s">
        <v>513</v>
      </c>
      <c r="P139" s="5" t="s">
        <v>2987</v>
      </c>
      <c r="Q139" s="5"/>
    </row>
    <row r="140" spans="1:17">
      <c r="A140" s="9">
        <v>46178</v>
      </c>
      <c r="B140" s="5" t="s">
        <v>81</v>
      </c>
      <c r="C140" s="5" t="s">
        <v>82</v>
      </c>
      <c r="D140" s="5" t="s">
        <v>3391</v>
      </c>
      <c r="E140" s="5" t="s">
        <v>2419</v>
      </c>
      <c r="F140" s="5">
        <f t="shared" si="9"/>
        <v>41</v>
      </c>
      <c r="G140" s="5" t="s">
        <v>19</v>
      </c>
      <c r="H140" s="5" t="s">
        <v>20</v>
      </c>
      <c r="I140" s="5" t="s">
        <v>604</v>
      </c>
      <c r="J140" s="5" t="s">
        <v>604</v>
      </c>
      <c r="K140" s="5">
        <f t="shared" si="10"/>
        <v>1</v>
      </c>
      <c r="L140" s="5">
        <f t="shared" si="11"/>
        <v>1</v>
      </c>
      <c r="M140" s="5" t="str">
        <f t="shared" si="8"/>
        <v>YES</v>
      </c>
      <c r="N140" s="5" t="s">
        <v>2988</v>
      </c>
      <c r="O140" s="5" t="s">
        <v>2989</v>
      </c>
      <c r="P140" s="5"/>
      <c r="Q140" s="5"/>
    </row>
    <row r="141" spans="1:17">
      <c r="A141" s="9">
        <v>46178</v>
      </c>
      <c r="B141" s="5" t="s">
        <v>81</v>
      </c>
      <c r="C141" s="5" t="s">
        <v>50</v>
      </c>
      <c r="D141" s="5" t="s">
        <v>3387</v>
      </c>
      <c r="E141" s="5" t="s">
        <v>2420</v>
      </c>
      <c r="F141" s="5">
        <f t="shared" si="9"/>
        <v>19</v>
      </c>
      <c r="G141" s="5" t="s">
        <v>19</v>
      </c>
      <c r="H141" s="5" t="s">
        <v>20</v>
      </c>
      <c r="I141" s="5" t="s">
        <v>28</v>
      </c>
      <c r="J141" s="5" t="s">
        <v>28</v>
      </c>
      <c r="K141" s="5">
        <f t="shared" si="10"/>
        <v>4</v>
      </c>
      <c r="L141" s="5">
        <f t="shared" si="11"/>
        <v>4</v>
      </c>
      <c r="M141" s="5" t="str">
        <f t="shared" si="8"/>
        <v/>
      </c>
      <c r="N141" s="5" t="s">
        <v>2990</v>
      </c>
      <c r="O141" s="5" t="s">
        <v>609</v>
      </c>
      <c r="P141" s="5" t="s">
        <v>610</v>
      </c>
      <c r="Q141" s="5"/>
    </row>
    <row r="142" spans="1:17">
      <c r="A142" s="9">
        <v>46178</v>
      </c>
      <c r="B142" s="5" t="s">
        <v>81</v>
      </c>
      <c r="C142" s="5" t="s">
        <v>82</v>
      </c>
      <c r="D142" s="5" t="s">
        <v>83</v>
      </c>
      <c r="E142" s="5" t="s">
        <v>2421</v>
      </c>
      <c r="F142" s="5">
        <f t="shared" si="9"/>
        <v>28</v>
      </c>
      <c r="G142" s="5" t="s">
        <v>19</v>
      </c>
      <c r="H142" s="5" t="s">
        <v>20</v>
      </c>
      <c r="I142" s="5" t="s">
        <v>28</v>
      </c>
      <c r="J142" s="5" t="s">
        <v>28</v>
      </c>
      <c r="K142" s="5">
        <f t="shared" si="10"/>
        <v>4</v>
      </c>
      <c r="L142" s="5">
        <f t="shared" si="11"/>
        <v>4</v>
      </c>
      <c r="M142" s="5" t="str">
        <f t="shared" si="8"/>
        <v/>
      </c>
      <c r="N142" s="5" t="s">
        <v>2991</v>
      </c>
      <c r="O142" s="5" t="s">
        <v>2992</v>
      </c>
      <c r="P142" s="5" t="s">
        <v>614</v>
      </c>
      <c r="Q142" s="5" t="s">
        <v>2993</v>
      </c>
    </row>
    <row r="143" spans="1:17">
      <c r="A143" s="9">
        <v>46178</v>
      </c>
      <c r="B143" s="5" t="s">
        <v>81</v>
      </c>
      <c r="C143" s="5" t="s">
        <v>82</v>
      </c>
      <c r="D143" s="5" t="s">
        <v>83</v>
      </c>
      <c r="E143" s="5" t="s">
        <v>2422</v>
      </c>
      <c r="F143" s="5">
        <f t="shared" si="9"/>
        <v>23</v>
      </c>
      <c r="G143" s="5" t="s">
        <v>19</v>
      </c>
      <c r="H143" s="5" t="s">
        <v>20</v>
      </c>
      <c r="I143" s="5" t="s">
        <v>21</v>
      </c>
      <c r="J143" s="5" t="s">
        <v>21</v>
      </c>
      <c r="K143" s="5">
        <f t="shared" si="10"/>
        <v>3</v>
      </c>
      <c r="L143" s="5">
        <f t="shared" si="11"/>
        <v>3</v>
      </c>
      <c r="M143" s="5" t="str">
        <f t="shared" si="8"/>
        <v/>
      </c>
      <c r="N143" s="5" t="s">
        <v>2994</v>
      </c>
      <c r="O143" s="5" t="s">
        <v>2995</v>
      </c>
      <c r="P143" s="5" t="s">
        <v>619</v>
      </c>
      <c r="Q143" s="5"/>
    </row>
    <row r="144" spans="1:17">
      <c r="A144" s="9">
        <v>46178</v>
      </c>
      <c r="B144" s="5" t="s">
        <v>81</v>
      </c>
      <c r="C144" s="5" t="s">
        <v>82</v>
      </c>
      <c r="D144" s="5" t="s">
        <v>3391</v>
      </c>
      <c r="E144" s="5" t="s">
        <v>2423</v>
      </c>
      <c r="F144" s="5">
        <f t="shared" si="9"/>
        <v>21</v>
      </c>
      <c r="G144" s="5" t="s">
        <v>19</v>
      </c>
      <c r="H144" s="5" t="s">
        <v>20</v>
      </c>
      <c r="I144" s="5" t="s">
        <v>21</v>
      </c>
      <c r="J144" s="5" t="s">
        <v>21</v>
      </c>
      <c r="K144" s="5">
        <f t="shared" si="10"/>
        <v>3</v>
      </c>
      <c r="L144" s="5">
        <f t="shared" si="11"/>
        <v>3</v>
      </c>
      <c r="M144" s="5" t="str">
        <f t="shared" si="8"/>
        <v/>
      </c>
      <c r="N144" s="5" t="s">
        <v>621</v>
      </c>
      <c r="O144" s="5" t="s">
        <v>2996</v>
      </c>
      <c r="P144" s="5"/>
      <c r="Q144" s="5"/>
    </row>
    <row r="145" spans="1:17">
      <c r="A145" s="9">
        <v>46178</v>
      </c>
      <c r="B145" s="5" t="s">
        <v>81</v>
      </c>
      <c r="C145" s="5" t="s">
        <v>82</v>
      </c>
      <c r="D145" s="5" t="s">
        <v>83</v>
      </c>
      <c r="E145" s="5" t="s">
        <v>2424</v>
      </c>
      <c r="F145" s="5">
        <f t="shared" si="9"/>
        <v>41</v>
      </c>
      <c r="G145" s="5" t="s">
        <v>19</v>
      </c>
      <c r="H145" s="5" t="s">
        <v>20</v>
      </c>
      <c r="I145" s="5" t="s">
        <v>28</v>
      </c>
      <c r="J145" s="5" t="s">
        <v>28</v>
      </c>
      <c r="K145" s="5">
        <f t="shared" si="10"/>
        <v>4</v>
      </c>
      <c r="L145" s="5">
        <f t="shared" si="11"/>
        <v>4</v>
      </c>
      <c r="M145" s="5" t="str">
        <f t="shared" si="8"/>
        <v/>
      </c>
      <c r="N145" s="5" t="s">
        <v>2997</v>
      </c>
      <c r="O145" s="5" t="s">
        <v>625</v>
      </c>
      <c r="P145" s="5"/>
      <c r="Q145" s="5"/>
    </row>
    <row r="146" spans="1:17">
      <c r="A146" s="9">
        <v>46178</v>
      </c>
      <c r="B146" s="5" t="s">
        <v>81</v>
      </c>
      <c r="C146" s="5" t="s">
        <v>82</v>
      </c>
      <c r="D146" s="5" t="s">
        <v>3394</v>
      </c>
      <c r="E146" s="5" t="s">
        <v>2425</v>
      </c>
      <c r="F146" s="5">
        <f t="shared" si="9"/>
        <v>24</v>
      </c>
      <c r="G146" s="5" t="s">
        <v>19</v>
      </c>
      <c r="H146" s="5" t="s">
        <v>20</v>
      </c>
      <c r="I146" s="5" t="s">
        <v>28</v>
      </c>
      <c r="J146" s="5" t="s">
        <v>28</v>
      </c>
      <c r="K146" s="5">
        <f t="shared" si="10"/>
        <v>4</v>
      </c>
      <c r="L146" s="5">
        <f t="shared" si="11"/>
        <v>4</v>
      </c>
      <c r="M146" s="5" t="str">
        <f t="shared" si="8"/>
        <v/>
      </c>
      <c r="N146" s="5" t="s">
        <v>2998</v>
      </c>
      <c r="O146" s="5"/>
      <c r="P146" s="5"/>
      <c r="Q146" s="5" t="s">
        <v>2999</v>
      </c>
    </row>
    <row r="147" spans="1:17">
      <c r="A147" s="9">
        <v>46178</v>
      </c>
      <c r="B147" s="5" t="s">
        <v>81</v>
      </c>
      <c r="C147" s="5" t="s">
        <v>82</v>
      </c>
      <c r="D147" s="5" t="s">
        <v>3394</v>
      </c>
      <c r="E147" s="5" t="s">
        <v>3000</v>
      </c>
      <c r="F147" s="5">
        <f t="shared" si="9"/>
        <v>22</v>
      </c>
      <c r="G147" s="5" t="s">
        <v>19</v>
      </c>
      <c r="H147" s="5" t="s">
        <v>20</v>
      </c>
      <c r="I147" s="5" t="s">
        <v>21</v>
      </c>
      <c r="J147" s="5" t="s">
        <v>28</v>
      </c>
      <c r="K147" s="5">
        <f t="shared" si="10"/>
        <v>3</v>
      </c>
      <c r="L147" s="5">
        <f t="shared" si="11"/>
        <v>4</v>
      </c>
      <c r="M147" s="5" t="str">
        <f t="shared" si="8"/>
        <v/>
      </c>
      <c r="N147" s="5" t="s">
        <v>3001</v>
      </c>
      <c r="O147" s="5" t="s">
        <v>631</v>
      </c>
      <c r="P147" s="5"/>
      <c r="Q147" s="5"/>
    </row>
    <row r="148" spans="1:17">
      <c r="A148" s="9">
        <v>46178</v>
      </c>
      <c r="B148" s="5" t="s">
        <v>81</v>
      </c>
      <c r="C148" s="5" t="s">
        <v>82</v>
      </c>
      <c r="D148" s="5" t="s">
        <v>95</v>
      </c>
      <c r="E148" s="5" t="s">
        <v>2426</v>
      </c>
      <c r="F148" s="5">
        <f t="shared" si="9"/>
        <v>42</v>
      </c>
      <c r="G148" s="5" t="s">
        <v>19</v>
      </c>
      <c r="H148" s="5" t="s">
        <v>20</v>
      </c>
      <c r="I148" s="5" t="s">
        <v>28</v>
      </c>
      <c r="J148" s="5" t="s">
        <v>28</v>
      </c>
      <c r="K148" s="5">
        <f t="shared" si="10"/>
        <v>4</v>
      </c>
      <c r="L148" s="5">
        <f t="shared" si="11"/>
        <v>4</v>
      </c>
      <c r="M148" s="5" t="str">
        <f t="shared" si="8"/>
        <v/>
      </c>
      <c r="N148" s="5" t="s">
        <v>633</v>
      </c>
      <c r="O148" s="5" t="s">
        <v>634</v>
      </c>
      <c r="P148" s="5"/>
      <c r="Q148" s="5"/>
    </row>
    <row r="149" spans="1:17">
      <c r="A149" s="9">
        <v>46178</v>
      </c>
      <c r="B149" s="5" t="s">
        <v>81</v>
      </c>
      <c r="C149" s="5" t="s">
        <v>82</v>
      </c>
      <c r="D149" s="5" t="s">
        <v>95</v>
      </c>
      <c r="E149" s="5" t="s">
        <v>2427</v>
      </c>
      <c r="F149" s="5">
        <f t="shared" si="9"/>
        <v>21</v>
      </c>
      <c r="G149" s="5" t="s">
        <v>19</v>
      </c>
      <c r="H149" s="5" t="s">
        <v>20</v>
      </c>
      <c r="I149" s="5" t="s">
        <v>21</v>
      </c>
      <c r="J149" s="5" t="s">
        <v>21</v>
      </c>
      <c r="K149" s="5">
        <f t="shared" si="10"/>
        <v>3</v>
      </c>
      <c r="L149" s="5">
        <f t="shared" si="11"/>
        <v>3</v>
      </c>
      <c r="M149" s="5" t="str">
        <f t="shared" si="8"/>
        <v/>
      </c>
      <c r="N149" s="5" t="s">
        <v>3002</v>
      </c>
      <c r="O149" s="5"/>
      <c r="P149" s="5" t="s">
        <v>3003</v>
      </c>
      <c r="Q149" s="5"/>
    </row>
    <row r="150" spans="1:17">
      <c r="A150" s="9">
        <v>46178</v>
      </c>
      <c r="B150" s="5" t="s">
        <v>81</v>
      </c>
      <c r="C150" s="5" t="s">
        <v>82</v>
      </c>
      <c r="D150" s="5" t="s">
        <v>3391</v>
      </c>
      <c r="E150" s="5" t="s">
        <v>2428</v>
      </c>
      <c r="F150" s="5">
        <f t="shared" si="9"/>
        <v>22</v>
      </c>
      <c r="G150" s="5" t="s">
        <v>19</v>
      </c>
      <c r="H150" s="5" t="s">
        <v>20</v>
      </c>
      <c r="I150" s="5" t="s">
        <v>28</v>
      </c>
      <c r="J150" s="5" t="s">
        <v>28</v>
      </c>
      <c r="K150" s="5">
        <f t="shared" si="10"/>
        <v>4</v>
      </c>
      <c r="L150" s="5">
        <f t="shared" si="11"/>
        <v>4</v>
      </c>
      <c r="M150" s="5" t="str">
        <f t="shared" si="8"/>
        <v/>
      </c>
      <c r="N150" s="5" t="s">
        <v>3498</v>
      </c>
      <c r="O150" s="5" t="s">
        <v>3004</v>
      </c>
      <c r="P150" s="5" t="s">
        <v>3004</v>
      </c>
      <c r="Q150" s="5"/>
    </row>
    <row r="151" spans="1:17">
      <c r="A151" s="9">
        <v>46178</v>
      </c>
      <c r="B151" s="5" t="s">
        <v>81</v>
      </c>
      <c r="C151" s="5" t="s">
        <v>82</v>
      </c>
      <c r="D151" s="5" t="s">
        <v>3391</v>
      </c>
      <c r="E151" s="5" t="s">
        <v>2429</v>
      </c>
      <c r="F151" s="5">
        <f t="shared" si="9"/>
        <v>24</v>
      </c>
      <c r="G151" s="5" t="s">
        <v>19</v>
      </c>
      <c r="H151" s="5" t="s">
        <v>20</v>
      </c>
      <c r="I151" s="5" t="s">
        <v>28</v>
      </c>
      <c r="J151" s="5" t="s">
        <v>28</v>
      </c>
      <c r="K151" s="5">
        <f t="shared" si="10"/>
        <v>4</v>
      </c>
      <c r="L151" s="5">
        <f t="shared" si="11"/>
        <v>4</v>
      </c>
      <c r="M151" s="5" t="str">
        <f t="shared" si="8"/>
        <v/>
      </c>
      <c r="N151" s="5" t="s">
        <v>642</v>
      </c>
      <c r="O151" s="5" t="s">
        <v>3499</v>
      </c>
      <c r="P151" s="5" t="s">
        <v>2776</v>
      </c>
      <c r="Q151" s="5"/>
    </row>
    <row r="152" spans="1:17">
      <c r="A152" s="9">
        <v>46178</v>
      </c>
      <c r="B152" s="5" t="s">
        <v>81</v>
      </c>
      <c r="C152" s="5" t="s">
        <v>50</v>
      </c>
      <c r="D152" s="5" t="s">
        <v>3387</v>
      </c>
      <c r="E152" s="5" t="s">
        <v>2430</v>
      </c>
      <c r="F152" s="5">
        <f t="shared" si="9"/>
        <v>26</v>
      </c>
      <c r="G152" s="5" t="s">
        <v>19</v>
      </c>
      <c r="H152" s="5" t="s">
        <v>20</v>
      </c>
      <c r="I152" s="5" t="s">
        <v>28</v>
      </c>
      <c r="J152" s="5" t="s">
        <v>28</v>
      </c>
      <c r="K152" s="5">
        <f t="shared" si="10"/>
        <v>4</v>
      </c>
      <c r="L152" s="5">
        <f t="shared" si="11"/>
        <v>4</v>
      </c>
      <c r="M152" s="5" t="str">
        <f t="shared" si="8"/>
        <v/>
      </c>
      <c r="N152" s="5" t="s">
        <v>646</v>
      </c>
      <c r="O152" s="5" t="s">
        <v>647</v>
      </c>
      <c r="P152" s="5"/>
      <c r="Q152" s="5"/>
    </row>
    <row r="153" spans="1:17">
      <c r="A153" s="9">
        <v>46178</v>
      </c>
      <c r="B153" s="5" t="s">
        <v>81</v>
      </c>
      <c r="C153" s="5" t="s">
        <v>50</v>
      </c>
      <c r="D153" s="5" t="s">
        <v>3390</v>
      </c>
      <c r="E153" s="5" t="s">
        <v>2431</v>
      </c>
      <c r="F153" s="5">
        <f t="shared" si="9"/>
        <v>46</v>
      </c>
      <c r="G153" s="5" t="s">
        <v>19</v>
      </c>
      <c r="H153" s="5" t="s">
        <v>20</v>
      </c>
      <c r="I153" s="5" t="s">
        <v>21</v>
      </c>
      <c r="J153" s="5" t="s">
        <v>21</v>
      </c>
      <c r="K153" s="5">
        <f t="shared" si="10"/>
        <v>3</v>
      </c>
      <c r="L153" s="5">
        <f t="shared" si="11"/>
        <v>3</v>
      </c>
      <c r="M153" s="5" t="str">
        <f t="shared" si="8"/>
        <v/>
      </c>
      <c r="N153" s="5" t="s">
        <v>649</v>
      </c>
      <c r="O153" s="5" t="s">
        <v>3005</v>
      </c>
      <c r="P153" s="5" t="s">
        <v>3006</v>
      </c>
      <c r="Q153" s="5"/>
    </row>
    <row r="154" spans="1:17">
      <c r="A154" s="9">
        <v>46178</v>
      </c>
      <c r="B154" s="4" t="s">
        <v>81</v>
      </c>
      <c r="C154" s="5" t="s">
        <v>82</v>
      </c>
      <c r="D154" s="5" t="s">
        <v>95</v>
      </c>
      <c r="E154" s="5" t="s">
        <v>2432</v>
      </c>
      <c r="F154" s="5">
        <f t="shared" si="9"/>
        <v>44</v>
      </c>
      <c r="G154" s="5" t="s">
        <v>19</v>
      </c>
      <c r="H154" s="5" t="s">
        <v>20</v>
      </c>
      <c r="I154" s="5" t="s">
        <v>28</v>
      </c>
      <c r="J154" s="5" t="s">
        <v>28</v>
      </c>
      <c r="K154" s="5">
        <f t="shared" si="10"/>
        <v>4</v>
      </c>
      <c r="L154" s="5">
        <f t="shared" si="11"/>
        <v>4</v>
      </c>
      <c r="M154" s="5" t="str">
        <f t="shared" si="8"/>
        <v/>
      </c>
      <c r="N154" s="5" t="s">
        <v>653</v>
      </c>
      <c r="O154" s="5" t="s">
        <v>3007</v>
      </c>
      <c r="P154" s="5"/>
      <c r="Q154" s="5"/>
    </row>
    <row r="155" spans="1:17">
      <c r="A155" s="9">
        <v>46178</v>
      </c>
      <c r="B155" s="5" t="s">
        <v>81</v>
      </c>
      <c r="C155" s="5" t="s">
        <v>82</v>
      </c>
      <c r="D155" s="5" t="s">
        <v>95</v>
      </c>
      <c r="E155" s="5" t="s">
        <v>2433</v>
      </c>
      <c r="F155" s="5">
        <f t="shared" si="9"/>
        <v>49</v>
      </c>
      <c r="G155" s="5" t="s">
        <v>19</v>
      </c>
      <c r="H155" s="5" t="s">
        <v>20</v>
      </c>
      <c r="I155" s="5" t="s">
        <v>21</v>
      </c>
      <c r="J155" s="5" t="s">
        <v>21</v>
      </c>
      <c r="K155" s="5">
        <f t="shared" si="10"/>
        <v>3</v>
      </c>
      <c r="L155" s="5">
        <f t="shared" si="11"/>
        <v>3</v>
      </c>
      <c r="M155" s="5" t="str">
        <f t="shared" si="8"/>
        <v/>
      </c>
      <c r="N155" s="5" t="s">
        <v>2777</v>
      </c>
      <c r="O155" s="5" t="s">
        <v>3500</v>
      </c>
      <c r="P155" s="5" t="s">
        <v>658</v>
      </c>
      <c r="Q155" s="5"/>
    </row>
    <row r="156" spans="1:17">
      <c r="A156" s="9">
        <v>46178</v>
      </c>
      <c r="B156" s="5" t="s">
        <v>15</v>
      </c>
      <c r="C156" s="5" t="s">
        <v>33</v>
      </c>
      <c r="D156" s="5" t="s">
        <v>62</v>
      </c>
      <c r="E156" s="5" t="s">
        <v>2778</v>
      </c>
      <c r="F156" s="5">
        <f t="shared" si="9"/>
        <v>27</v>
      </c>
      <c r="G156" s="5" t="s">
        <v>19</v>
      </c>
      <c r="H156" s="5" t="s">
        <v>45</v>
      </c>
      <c r="I156" s="5" t="s">
        <v>28</v>
      </c>
      <c r="J156" s="5" t="s">
        <v>28</v>
      </c>
      <c r="K156" s="5">
        <f t="shared" si="10"/>
        <v>4</v>
      </c>
      <c r="L156" s="5">
        <f t="shared" si="11"/>
        <v>4</v>
      </c>
      <c r="M156" s="5" t="str">
        <f t="shared" si="8"/>
        <v/>
      </c>
      <c r="N156" s="5" t="s">
        <v>3501</v>
      </c>
      <c r="O156" s="5" t="s">
        <v>3502</v>
      </c>
      <c r="P156" s="5" t="s">
        <v>3008</v>
      </c>
      <c r="Q156" s="5"/>
    </row>
    <row r="157" spans="1:17">
      <c r="A157" s="9">
        <v>46178</v>
      </c>
      <c r="B157" s="5" t="s">
        <v>15</v>
      </c>
      <c r="C157" s="5" t="s">
        <v>16</v>
      </c>
      <c r="D157" s="5" t="s">
        <v>663</v>
      </c>
      <c r="E157" s="5" t="s">
        <v>2434</v>
      </c>
      <c r="F157" s="5">
        <f t="shared" si="9"/>
        <v>29</v>
      </c>
      <c r="G157" s="5" t="s">
        <v>107</v>
      </c>
      <c r="H157" s="5" t="s">
        <v>45</v>
      </c>
      <c r="I157" s="5" t="s">
        <v>21</v>
      </c>
      <c r="J157" s="5" t="s">
        <v>21</v>
      </c>
      <c r="K157" s="5">
        <f t="shared" si="10"/>
        <v>3</v>
      </c>
      <c r="L157" s="5">
        <f t="shared" si="11"/>
        <v>3</v>
      </c>
      <c r="M157" s="5" t="str">
        <f t="shared" si="8"/>
        <v/>
      </c>
      <c r="N157" s="5" t="s">
        <v>2779</v>
      </c>
      <c r="O157" s="5" t="s">
        <v>3009</v>
      </c>
      <c r="P157" s="5" t="s">
        <v>667</v>
      </c>
      <c r="Q157" s="5"/>
    </row>
    <row r="158" spans="1:17">
      <c r="A158" s="9">
        <v>46178</v>
      </c>
      <c r="B158" s="5" t="s">
        <v>81</v>
      </c>
      <c r="C158" s="5" t="s">
        <v>82</v>
      </c>
      <c r="D158" s="5" t="s">
        <v>83</v>
      </c>
      <c r="E158" s="5" t="s">
        <v>2435</v>
      </c>
      <c r="F158" s="5">
        <f t="shared" si="9"/>
        <v>18</v>
      </c>
      <c r="G158" s="5" t="s">
        <v>19</v>
      </c>
      <c r="H158" s="5" t="s">
        <v>20</v>
      </c>
      <c r="I158" s="5" t="s">
        <v>28</v>
      </c>
      <c r="J158" s="5" t="s">
        <v>28</v>
      </c>
      <c r="K158" s="5">
        <f t="shared" si="10"/>
        <v>4</v>
      </c>
      <c r="L158" s="5">
        <f t="shared" si="11"/>
        <v>4</v>
      </c>
      <c r="M158" s="5" t="str">
        <f t="shared" si="8"/>
        <v/>
      </c>
      <c r="N158" s="5" t="s">
        <v>669</v>
      </c>
      <c r="O158" s="5" t="s">
        <v>513</v>
      </c>
      <c r="P158" s="5"/>
      <c r="Q158" s="5"/>
    </row>
    <row r="159" spans="1:17">
      <c r="A159" s="9">
        <v>46178</v>
      </c>
      <c r="B159" s="5" t="s">
        <v>81</v>
      </c>
      <c r="C159" s="5" t="s">
        <v>82</v>
      </c>
      <c r="D159" s="5" t="s">
        <v>83</v>
      </c>
      <c r="E159" s="5" t="s">
        <v>2436</v>
      </c>
      <c r="F159" s="5">
        <f t="shared" si="9"/>
        <v>28</v>
      </c>
      <c r="G159" s="5" t="s">
        <v>19</v>
      </c>
      <c r="H159" s="5" t="s">
        <v>45</v>
      </c>
      <c r="I159" s="5" t="s">
        <v>21</v>
      </c>
      <c r="J159" s="5" t="s">
        <v>21</v>
      </c>
      <c r="K159" s="5">
        <f t="shared" si="10"/>
        <v>3</v>
      </c>
      <c r="L159" s="5">
        <f t="shared" si="11"/>
        <v>3</v>
      </c>
      <c r="M159" s="5" t="str">
        <f t="shared" si="8"/>
        <v/>
      </c>
      <c r="N159" s="5" t="s">
        <v>671</v>
      </c>
      <c r="O159" s="5" t="s">
        <v>3010</v>
      </c>
      <c r="P159" s="5" t="s">
        <v>3011</v>
      </c>
      <c r="Q159" s="5" t="s">
        <v>3012</v>
      </c>
    </row>
    <row r="160" spans="1:17">
      <c r="A160" s="9">
        <v>46178</v>
      </c>
      <c r="B160" s="5" t="s">
        <v>111</v>
      </c>
      <c r="C160" s="5" t="s">
        <v>112</v>
      </c>
      <c r="D160" s="5" t="s">
        <v>3385</v>
      </c>
      <c r="E160" s="5" t="s">
        <v>2437</v>
      </c>
      <c r="F160" s="5">
        <f t="shared" si="9"/>
        <v>27</v>
      </c>
      <c r="G160" s="5" t="s">
        <v>19</v>
      </c>
      <c r="H160" s="5" t="s">
        <v>45</v>
      </c>
      <c r="I160" s="5" t="s">
        <v>21</v>
      </c>
      <c r="J160" s="5" t="s">
        <v>21</v>
      </c>
      <c r="K160" s="5">
        <f t="shared" si="10"/>
        <v>3</v>
      </c>
      <c r="L160" s="5">
        <f t="shared" si="11"/>
        <v>3</v>
      </c>
      <c r="M160" s="5" t="str">
        <f t="shared" si="8"/>
        <v/>
      </c>
      <c r="N160" s="5" t="s">
        <v>2780</v>
      </c>
      <c r="O160" s="5"/>
      <c r="P160" s="5" t="s">
        <v>677</v>
      </c>
      <c r="Q160" s="5"/>
    </row>
    <row r="161" spans="1:17">
      <c r="A161" s="9">
        <v>46178</v>
      </c>
      <c r="B161" s="5" t="s">
        <v>81</v>
      </c>
      <c r="C161" s="5" t="s">
        <v>50</v>
      </c>
      <c r="D161" s="5" t="s">
        <v>3387</v>
      </c>
      <c r="E161" s="5" t="s">
        <v>2438</v>
      </c>
      <c r="F161" s="5">
        <f t="shared" si="9"/>
        <v>24</v>
      </c>
      <c r="G161" s="5" t="s">
        <v>19</v>
      </c>
      <c r="H161" s="5" t="s">
        <v>20</v>
      </c>
      <c r="I161" s="5" t="s">
        <v>28</v>
      </c>
      <c r="J161" s="5" t="s">
        <v>28</v>
      </c>
      <c r="K161" s="5">
        <f t="shared" si="10"/>
        <v>4</v>
      </c>
      <c r="L161" s="5">
        <f t="shared" si="11"/>
        <v>4</v>
      </c>
      <c r="M161" s="5" t="str">
        <f t="shared" si="8"/>
        <v/>
      </c>
      <c r="N161" s="5" t="s">
        <v>3503</v>
      </c>
      <c r="O161" s="5" t="s">
        <v>3013</v>
      </c>
      <c r="P161" s="5" t="s">
        <v>681</v>
      </c>
      <c r="Q161" s="5"/>
    </row>
    <row r="162" spans="1:17">
      <c r="A162" s="9">
        <v>46178</v>
      </c>
      <c r="B162" s="5" t="s">
        <v>81</v>
      </c>
      <c r="C162" s="5" t="s">
        <v>82</v>
      </c>
      <c r="D162" s="5" t="s">
        <v>95</v>
      </c>
      <c r="E162" s="5" t="s">
        <v>2433</v>
      </c>
      <c r="F162" s="5">
        <f t="shared" si="9"/>
        <v>49</v>
      </c>
      <c r="G162" s="5" t="s">
        <v>19</v>
      </c>
      <c r="H162" s="5" t="s">
        <v>20</v>
      </c>
      <c r="I162" s="5" t="s">
        <v>21</v>
      </c>
      <c r="J162" s="5" t="s">
        <v>21</v>
      </c>
      <c r="K162" s="5">
        <f t="shared" si="10"/>
        <v>3</v>
      </c>
      <c r="L162" s="5">
        <f t="shared" si="11"/>
        <v>3</v>
      </c>
      <c r="M162" s="5" t="str">
        <f t="shared" si="8"/>
        <v/>
      </c>
      <c r="N162" s="5" t="s">
        <v>2781</v>
      </c>
      <c r="O162" s="5" t="s">
        <v>3014</v>
      </c>
      <c r="P162" s="5" t="s">
        <v>3504</v>
      </c>
      <c r="Q162" s="5"/>
    </row>
    <row r="163" spans="1:17">
      <c r="A163" s="9">
        <v>46178</v>
      </c>
      <c r="B163" s="5" t="s">
        <v>81</v>
      </c>
      <c r="C163" s="5" t="s">
        <v>82</v>
      </c>
      <c r="D163" s="5" t="s">
        <v>3391</v>
      </c>
      <c r="E163" s="5" t="s">
        <v>3015</v>
      </c>
      <c r="F163" s="5">
        <f t="shared" si="9"/>
        <v>51</v>
      </c>
      <c r="G163" s="5" t="s">
        <v>19</v>
      </c>
      <c r="H163" s="5" t="s">
        <v>20</v>
      </c>
      <c r="I163" s="5" t="s">
        <v>21</v>
      </c>
      <c r="J163" s="5" t="s">
        <v>21</v>
      </c>
      <c r="K163" s="5">
        <f t="shared" si="10"/>
        <v>3</v>
      </c>
      <c r="L163" s="5">
        <f t="shared" si="11"/>
        <v>3</v>
      </c>
      <c r="M163" s="5" t="str">
        <f t="shared" si="8"/>
        <v/>
      </c>
      <c r="N163" s="5" t="s">
        <v>686</v>
      </c>
      <c r="O163" s="5" t="s">
        <v>687</v>
      </c>
      <c r="P163" s="5" t="s">
        <v>2758</v>
      </c>
      <c r="Q163" s="5"/>
    </row>
    <row r="164" spans="1:17">
      <c r="A164" s="9">
        <v>46178</v>
      </c>
      <c r="B164" s="5" t="s">
        <v>81</v>
      </c>
      <c r="C164" s="5" t="s">
        <v>50</v>
      </c>
      <c r="D164" s="5" t="s">
        <v>3387</v>
      </c>
      <c r="E164" s="5" t="s">
        <v>2439</v>
      </c>
      <c r="F164" s="5">
        <f t="shared" si="9"/>
        <v>22</v>
      </c>
      <c r="G164" s="5" t="s">
        <v>19</v>
      </c>
      <c r="H164" s="5" t="s">
        <v>20</v>
      </c>
      <c r="I164" s="5" t="s">
        <v>28</v>
      </c>
      <c r="J164" s="5" t="s">
        <v>28</v>
      </c>
      <c r="K164" s="5">
        <f t="shared" si="10"/>
        <v>4</v>
      </c>
      <c r="L164" s="5">
        <f t="shared" si="11"/>
        <v>4</v>
      </c>
      <c r="M164" s="5" t="str">
        <f t="shared" si="8"/>
        <v/>
      </c>
      <c r="N164" s="5" t="s">
        <v>690</v>
      </c>
      <c r="O164" s="5" t="s">
        <v>691</v>
      </c>
      <c r="P164" s="5" t="s">
        <v>692</v>
      </c>
      <c r="Q164" s="5"/>
    </row>
    <row r="165" spans="1:17">
      <c r="A165" s="9">
        <v>46178</v>
      </c>
      <c r="B165" s="5" t="s">
        <v>81</v>
      </c>
      <c r="C165" s="5" t="s">
        <v>82</v>
      </c>
      <c r="D165" s="5" t="s">
        <v>3394</v>
      </c>
      <c r="E165" s="5" t="s">
        <v>2440</v>
      </c>
      <c r="F165" s="5">
        <f t="shared" si="9"/>
        <v>20</v>
      </c>
      <c r="G165" s="5" t="s">
        <v>19</v>
      </c>
      <c r="H165" s="5" t="s">
        <v>20</v>
      </c>
      <c r="I165" s="5" t="s">
        <v>28</v>
      </c>
      <c r="J165" s="5" t="s">
        <v>21</v>
      </c>
      <c r="K165" s="5">
        <f t="shared" si="10"/>
        <v>4</v>
      </c>
      <c r="L165" s="5">
        <f t="shared" si="11"/>
        <v>3</v>
      </c>
      <c r="M165" s="5" t="str">
        <f t="shared" si="8"/>
        <v/>
      </c>
      <c r="N165" s="5" t="s">
        <v>3505</v>
      </c>
      <c r="O165" s="5" t="s">
        <v>3400</v>
      </c>
      <c r="P165" s="5" t="s">
        <v>3506</v>
      </c>
      <c r="Q165" s="5"/>
    </row>
    <row r="166" spans="1:17">
      <c r="A166" s="9">
        <v>46178</v>
      </c>
      <c r="B166" s="5" t="s">
        <v>15</v>
      </c>
      <c r="C166" s="5" t="s">
        <v>33</v>
      </c>
      <c r="D166" s="5" t="s">
        <v>34</v>
      </c>
      <c r="E166" s="5" t="s">
        <v>2441</v>
      </c>
      <c r="F166" s="5">
        <f t="shared" si="9"/>
        <v>32</v>
      </c>
      <c r="G166" s="5" t="s">
        <v>19</v>
      </c>
      <c r="H166" s="5" t="s">
        <v>20</v>
      </c>
      <c r="I166" s="5" t="s">
        <v>21</v>
      </c>
      <c r="J166" s="5" t="s">
        <v>28</v>
      </c>
      <c r="K166" s="5">
        <f t="shared" si="10"/>
        <v>3</v>
      </c>
      <c r="L166" s="5">
        <f t="shared" si="11"/>
        <v>4</v>
      </c>
      <c r="M166" s="5" t="str">
        <f t="shared" si="8"/>
        <v/>
      </c>
      <c r="N166" s="5" t="s">
        <v>698</v>
      </c>
      <c r="O166" s="5" t="s">
        <v>699</v>
      </c>
      <c r="P166" s="5" t="s">
        <v>700</v>
      </c>
      <c r="Q166" s="5"/>
    </row>
    <row r="167" spans="1:17">
      <c r="A167" s="9">
        <v>46178</v>
      </c>
      <c r="B167" s="5" t="s">
        <v>72</v>
      </c>
      <c r="C167" s="5" t="s">
        <v>3384</v>
      </c>
      <c r="D167" s="5" t="s">
        <v>72</v>
      </c>
      <c r="E167" s="5" t="s">
        <v>3016</v>
      </c>
      <c r="F167" s="5">
        <f t="shared" si="9"/>
        <v>40</v>
      </c>
      <c r="G167" s="5" t="s">
        <v>19</v>
      </c>
      <c r="H167" s="5" t="s">
        <v>45</v>
      </c>
      <c r="I167" s="5" t="s">
        <v>28</v>
      </c>
      <c r="J167" s="5" t="s">
        <v>28</v>
      </c>
      <c r="K167" s="5">
        <f t="shared" si="10"/>
        <v>4</v>
      </c>
      <c r="L167" s="5">
        <f t="shared" si="11"/>
        <v>4</v>
      </c>
      <c r="M167" s="5" t="str">
        <f t="shared" si="8"/>
        <v/>
      </c>
      <c r="N167" s="5" t="s">
        <v>3017</v>
      </c>
      <c r="O167" s="5" t="s">
        <v>3507</v>
      </c>
      <c r="P167" s="5" t="s">
        <v>3018</v>
      </c>
      <c r="Q167" s="5"/>
    </row>
    <row r="168" spans="1:17">
      <c r="A168" s="9">
        <v>46178</v>
      </c>
      <c r="B168" s="5" t="s">
        <v>111</v>
      </c>
      <c r="C168" s="5" t="s">
        <v>112</v>
      </c>
      <c r="D168" s="5" t="s">
        <v>3385</v>
      </c>
      <c r="E168" s="5" t="s">
        <v>2442</v>
      </c>
      <c r="F168" s="5">
        <f t="shared" si="9"/>
        <v>24</v>
      </c>
      <c r="G168" s="5" t="s">
        <v>19</v>
      </c>
      <c r="H168" s="5" t="s">
        <v>20</v>
      </c>
      <c r="I168" s="5" t="s">
        <v>28</v>
      </c>
      <c r="J168" s="5" t="s">
        <v>28</v>
      </c>
      <c r="K168" s="5">
        <f t="shared" si="10"/>
        <v>4</v>
      </c>
      <c r="L168" s="5">
        <f t="shared" si="11"/>
        <v>4</v>
      </c>
      <c r="M168" s="5" t="str">
        <f t="shared" si="8"/>
        <v/>
      </c>
      <c r="N168" s="5" t="s">
        <v>3508</v>
      </c>
      <c r="O168" s="5" t="s">
        <v>3019</v>
      </c>
      <c r="P168" s="5" t="s">
        <v>3020</v>
      </c>
      <c r="Q168" s="5"/>
    </row>
    <row r="169" spans="1:17">
      <c r="A169" s="9">
        <v>46178</v>
      </c>
      <c r="B169" s="5" t="s">
        <v>15</v>
      </c>
      <c r="C169" s="5" t="s">
        <v>39</v>
      </c>
      <c r="D169" s="5" t="s">
        <v>3382</v>
      </c>
      <c r="E169" s="5" t="s">
        <v>2443</v>
      </c>
      <c r="F169" s="5">
        <f t="shared" si="9"/>
        <v>22</v>
      </c>
      <c r="G169" s="5" t="s">
        <v>19</v>
      </c>
      <c r="H169" s="5" t="s">
        <v>45</v>
      </c>
      <c r="I169" s="5" t="s">
        <v>28</v>
      </c>
      <c r="J169" s="5" t="s">
        <v>28</v>
      </c>
      <c r="K169" s="5">
        <f t="shared" si="10"/>
        <v>4</v>
      </c>
      <c r="L169" s="5">
        <f t="shared" si="11"/>
        <v>4</v>
      </c>
      <c r="M169" s="5" t="str">
        <f t="shared" si="8"/>
        <v/>
      </c>
      <c r="N169" s="5" t="s">
        <v>3509</v>
      </c>
      <c r="O169" s="5" t="s">
        <v>3510</v>
      </c>
      <c r="P169" s="5" t="s">
        <v>3021</v>
      </c>
      <c r="Q169" s="5" t="s">
        <v>3022</v>
      </c>
    </row>
    <row r="170" spans="1:17">
      <c r="A170" s="9">
        <v>46178</v>
      </c>
      <c r="B170" s="5" t="s">
        <v>81</v>
      </c>
      <c r="C170" s="5" t="s">
        <v>82</v>
      </c>
      <c r="D170" s="5" t="s">
        <v>95</v>
      </c>
      <c r="E170" s="5" t="s">
        <v>2444</v>
      </c>
      <c r="F170" s="5">
        <f t="shared" si="9"/>
        <v>42</v>
      </c>
      <c r="G170" s="5" t="s">
        <v>19</v>
      </c>
      <c r="H170" s="5" t="s">
        <v>20</v>
      </c>
      <c r="I170" s="5" t="s">
        <v>28</v>
      </c>
      <c r="J170" s="5" t="s">
        <v>21</v>
      </c>
      <c r="K170" s="5">
        <f t="shared" si="10"/>
        <v>4</v>
      </c>
      <c r="L170" s="5">
        <f t="shared" si="11"/>
        <v>3</v>
      </c>
      <c r="M170" s="5" t="str">
        <f t="shared" si="8"/>
        <v/>
      </c>
      <c r="N170" s="5" t="s">
        <v>2782</v>
      </c>
      <c r="O170" s="5"/>
      <c r="P170" s="5" t="s">
        <v>716</v>
      </c>
      <c r="Q170" s="5"/>
    </row>
    <row r="171" spans="1:17">
      <c r="A171" s="9">
        <v>46178</v>
      </c>
      <c r="B171" s="5" t="s">
        <v>81</v>
      </c>
      <c r="C171" s="5" t="s">
        <v>82</v>
      </c>
      <c r="D171" s="5" t="s">
        <v>3391</v>
      </c>
      <c r="E171" s="5" t="s">
        <v>2445</v>
      </c>
      <c r="F171" s="5">
        <f t="shared" si="9"/>
        <v>19</v>
      </c>
      <c r="G171" s="5" t="s">
        <v>19</v>
      </c>
      <c r="H171" s="5" t="s">
        <v>20</v>
      </c>
      <c r="I171" s="5" t="s">
        <v>21</v>
      </c>
      <c r="J171" s="5" t="s">
        <v>28</v>
      </c>
      <c r="K171" s="5">
        <f t="shared" si="10"/>
        <v>3</v>
      </c>
      <c r="L171" s="5">
        <f t="shared" si="11"/>
        <v>4</v>
      </c>
      <c r="M171" s="5" t="str">
        <f t="shared" si="8"/>
        <v/>
      </c>
      <c r="N171" s="5" t="s">
        <v>3401</v>
      </c>
      <c r="O171" s="5" t="s">
        <v>3023</v>
      </c>
      <c r="P171" s="5" t="s">
        <v>3402</v>
      </c>
      <c r="Q171" s="5" t="s">
        <v>3024</v>
      </c>
    </row>
    <row r="172" spans="1:17">
      <c r="A172" s="9">
        <v>46178</v>
      </c>
      <c r="B172" s="5" t="s">
        <v>81</v>
      </c>
      <c r="C172" s="5" t="s">
        <v>82</v>
      </c>
      <c r="D172" s="5" t="s">
        <v>3391</v>
      </c>
      <c r="E172" s="5" t="s">
        <v>2446</v>
      </c>
      <c r="F172" s="5">
        <f t="shared" si="9"/>
        <v>25</v>
      </c>
      <c r="G172" s="5" t="s">
        <v>19</v>
      </c>
      <c r="H172" s="5" t="s">
        <v>20</v>
      </c>
      <c r="I172" s="5" t="s">
        <v>21</v>
      </c>
      <c r="J172" s="5" t="s">
        <v>21</v>
      </c>
      <c r="K172" s="5">
        <f t="shared" si="10"/>
        <v>3</v>
      </c>
      <c r="L172" s="5">
        <f t="shared" si="11"/>
        <v>3</v>
      </c>
      <c r="M172" s="5" t="str">
        <f t="shared" si="8"/>
        <v/>
      </c>
      <c r="N172" s="5" t="s">
        <v>723</v>
      </c>
      <c r="O172" s="5" t="s">
        <v>724</v>
      </c>
      <c r="P172" s="5" t="s">
        <v>725</v>
      </c>
      <c r="Q172" s="5" t="s">
        <v>100</v>
      </c>
    </row>
    <row r="173" spans="1:17">
      <c r="A173" s="9">
        <v>46178</v>
      </c>
      <c r="B173" s="5" t="s">
        <v>15</v>
      </c>
      <c r="C173" s="5" t="s">
        <v>39</v>
      </c>
      <c r="D173" s="5" t="s">
        <v>3383</v>
      </c>
      <c r="E173" s="5" t="s">
        <v>2447</v>
      </c>
      <c r="F173" s="5">
        <f t="shared" si="9"/>
        <v>23</v>
      </c>
      <c r="G173" s="5" t="s">
        <v>19</v>
      </c>
      <c r="H173" s="5" t="s">
        <v>20</v>
      </c>
      <c r="I173" s="5" t="s">
        <v>28</v>
      </c>
      <c r="J173" s="5" t="s">
        <v>28</v>
      </c>
      <c r="K173" s="5">
        <f t="shared" si="10"/>
        <v>4</v>
      </c>
      <c r="L173" s="5">
        <f t="shared" si="11"/>
        <v>4</v>
      </c>
      <c r="M173" s="5" t="str">
        <f t="shared" si="8"/>
        <v/>
      </c>
      <c r="N173" s="5" t="s">
        <v>3025</v>
      </c>
      <c r="O173" s="5" t="s">
        <v>3026</v>
      </c>
      <c r="P173" s="5" t="s">
        <v>3027</v>
      </c>
      <c r="Q173" s="5"/>
    </row>
    <row r="174" spans="1:17">
      <c r="A174" s="9">
        <v>46178</v>
      </c>
      <c r="B174" s="5" t="s">
        <v>15</v>
      </c>
      <c r="C174" s="5" t="s">
        <v>33</v>
      </c>
      <c r="D174" s="5" t="s">
        <v>34</v>
      </c>
      <c r="E174" s="5" t="s">
        <v>3028</v>
      </c>
      <c r="F174" s="5">
        <f t="shared" si="9"/>
        <v>35</v>
      </c>
      <c r="G174" s="5" t="s">
        <v>19</v>
      </c>
      <c r="H174" s="5" t="s">
        <v>45</v>
      </c>
      <c r="I174" s="5" t="s">
        <v>21</v>
      </c>
      <c r="J174" s="5" t="s">
        <v>28</v>
      </c>
      <c r="K174" s="5">
        <f t="shared" si="10"/>
        <v>3</v>
      </c>
      <c r="L174" s="5">
        <f t="shared" si="11"/>
        <v>4</v>
      </c>
      <c r="M174" s="5" t="str">
        <f t="shared" si="8"/>
        <v/>
      </c>
      <c r="N174" s="5" t="s">
        <v>3029</v>
      </c>
      <c r="O174" s="5" t="s">
        <v>3030</v>
      </c>
      <c r="P174" s="5" t="s">
        <v>3511</v>
      </c>
      <c r="Q174" s="5"/>
    </row>
    <row r="175" spans="1:17">
      <c r="A175" s="9">
        <v>46178</v>
      </c>
      <c r="B175" s="5" t="s">
        <v>81</v>
      </c>
      <c r="C175" s="5" t="s">
        <v>50</v>
      </c>
      <c r="D175" s="5" t="s">
        <v>3387</v>
      </c>
      <c r="E175" s="5" t="s">
        <v>2448</v>
      </c>
      <c r="F175" s="5">
        <f t="shared" si="9"/>
        <v>27</v>
      </c>
      <c r="G175" s="5" t="s">
        <v>19</v>
      </c>
      <c r="H175" s="5" t="s">
        <v>45</v>
      </c>
      <c r="I175" s="5" t="s">
        <v>28</v>
      </c>
      <c r="J175" s="5" t="s">
        <v>28</v>
      </c>
      <c r="K175" s="5">
        <f t="shared" si="10"/>
        <v>4</v>
      </c>
      <c r="L175" s="5">
        <f t="shared" si="11"/>
        <v>4</v>
      </c>
      <c r="M175" s="5" t="str">
        <f t="shared" si="8"/>
        <v/>
      </c>
      <c r="N175" s="5" t="s">
        <v>735</v>
      </c>
      <c r="O175" s="5" t="s">
        <v>736</v>
      </c>
      <c r="P175" s="5" t="s">
        <v>737</v>
      </c>
      <c r="Q175" s="5"/>
    </row>
    <row r="176" spans="1:17">
      <c r="A176" s="9">
        <v>46178</v>
      </c>
      <c r="B176" s="5" t="s">
        <v>81</v>
      </c>
      <c r="C176" s="5" t="s">
        <v>50</v>
      </c>
      <c r="D176" s="5" t="s">
        <v>3387</v>
      </c>
      <c r="E176" s="5" t="s">
        <v>2833</v>
      </c>
      <c r="F176" s="5">
        <f t="shared" si="9"/>
        <v>32</v>
      </c>
      <c r="G176" s="5" t="s">
        <v>19</v>
      </c>
      <c r="H176" s="5" t="s">
        <v>20</v>
      </c>
      <c r="I176" s="5" t="s">
        <v>28</v>
      </c>
      <c r="J176" s="5" t="s">
        <v>28</v>
      </c>
      <c r="K176" s="5">
        <f t="shared" si="10"/>
        <v>4</v>
      </c>
      <c r="L176" s="5">
        <f t="shared" si="11"/>
        <v>4</v>
      </c>
      <c r="M176" s="5" t="str">
        <f t="shared" si="8"/>
        <v/>
      </c>
      <c r="N176" s="5" t="s">
        <v>3512</v>
      </c>
      <c r="O176" s="5" t="s">
        <v>740</v>
      </c>
      <c r="P176" s="5" t="s">
        <v>610</v>
      </c>
      <c r="Q176" s="5" t="s">
        <v>3513</v>
      </c>
    </row>
    <row r="177" spans="1:17">
      <c r="A177" s="9">
        <v>46178</v>
      </c>
      <c r="B177" s="5" t="s">
        <v>81</v>
      </c>
      <c r="C177" s="5" t="s">
        <v>82</v>
      </c>
      <c r="D177" s="5" t="s">
        <v>83</v>
      </c>
      <c r="E177" s="5" t="s">
        <v>2449</v>
      </c>
      <c r="F177" s="5">
        <f t="shared" si="9"/>
        <v>51</v>
      </c>
      <c r="G177" s="5" t="s">
        <v>19</v>
      </c>
      <c r="H177" s="5" t="s">
        <v>20</v>
      </c>
      <c r="I177" s="5" t="s">
        <v>21</v>
      </c>
      <c r="J177" s="5" t="s">
        <v>21</v>
      </c>
      <c r="K177" s="5">
        <f t="shared" si="10"/>
        <v>3</v>
      </c>
      <c r="L177" s="5">
        <f t="shared" si="11"/>
        <v>3</v>
      </c>
      <c r="M177" s="5" t="str">
        <f t="shared" si="8"/>
        <v/>
      </c>
      <c r="N177" s="5" t="s">
        <v>744</v>
      </c>
      <c r="O177" s="5" t="s">
        <v>745</v>
      </c>
      <c r="P177" s="5" t="s">
        <v>3031</v>
      </c>
      <c r="Q177" s="5"/>
    </row>
    <row r="178" spans="1:17">
      <c r="A178" s="9">
        <v>46178</v>
      </c>
      <c r="B178" s="5" t="s">
        <v>81</v>
      </c>
      <c r="C178" s="5" t="s">
        <v>82</v>
      </c>
      <c r="D178" s="5" t="s">
        <v>95</v>
      </c>
      <c r="E178" s="5" t="s">
        <v>2450</v>
      </c>
      <c r="F178" s="5">
        <f t="shared" si="9"/>
        <v>52</v>
      </c>
      <c r="G178" s="5" t="s">
        <v>19</v>
      </c>
      <c r="H178" s="5" t="s">
        <v>20</v>
      </c>
      <c r="I178" s="5" t="s">
        <v>21</v>
      </c>
      <c r="J178" s="5" t="s">
        <v>28</v>
      </c>
      <c r="K178" s="5">
        <f t="shared" si="10"/>
        <v>3</v>
      </c>
      <c r="L178" s="5">
        <f t="shared" si="11"/>
        <v>4</v>
      </c>
      <c r="M178" s="5" t="str">
        <f t="shared" si="8"/>
        <v/>
      </c>
      <c r="N178" s="5" t="s">
        <v>3514</v>
      </c>
      <c r="O178" s="5" t="s">
        <v>3032</v>
      </c>
      <c r="P178" s="5" t="s">
        <v>750</v>
      </c>
      <c r="Q178" s="5" t="s">
        <v>3515</v>
      </c>
    </row>
    <row r="179" spans="1:17">
      <c r="A179" s="9">
        <v>46178</v>
      </c>
      <c r="B179" s="5" t="s">
        <v>150</v>
      </c>
      <c r="C179" s="5" t="s">
        <v>3389</v>
      </c>
      <c r="D179" s="5" t="s">
        <v>150</v>
      </c>
      <c r="E179" s="5" t="s">
        <v>2451</v>
      </c>
      <c r="F179" s="5">
        <f t="shared" si="9"/>
        <v>26</v>
      </c>
      <c r="G179" s="5" t="s">
        <v>19</v>
      </c>
      <c r="H179" s="5" t="s">
        <v>20</v>
      </c>
      <c r="I179" s="5" t="s">
        <v>21</v>
      </c>
      <c r="J179" s="5" t="s">
        <v>28</v>
      </c>
      <c r="K179" s="5">
        <f t="shared" si="10"/>
        <v>3</v>
      </c>
      <c r="L179" s="5">
        <f t="shared" si="11"/>
        <v>4</v>
      </c>
      <c r="M179" s="5" t="str">
        <f t="shared" si="8"/>
        <v/>
      </c>
      <c r="N179" s="5" t="s">
        <v>3033</v>
      </c>
      <c r="O179" s="5" t="s">
        <v>3034</v>
      </c>
      <c r="P179" s="5" t="s">
        <v>3035</v>
      </c>
      <c r="Q179" s="5" t="s">
        <v>2761</v>
      </c>
    </row>
    <row r="180" spans="1:17">
      <c r="A180" s="9">
        <v>46178</v>
      </c>
      <c r="B180" s="5" t="s">
        <v>81</v>
      </c>
      <c r="C180" s="5" t="s">
        <v>82</v>
      </c>
      <c r="D180" s="5" t="s">
        <v>3391</v>
      </c>
      <c r="E180" s="5" t="s">
        <v>2452</v>
      </c>
      <c r="F180" s="5">
        <f t="shared" si="9"/>
        <v>39</v>
      </c>
      <c r="G180" s="5" t="s">
        <v>19</v>
      </c>
      <c r="H180" s="5" t="s">
        <v>20</v>
      </c>
      <c r="I180" s="5" t="s">
        <v>28</v>
      </c>
      <c r="J180" s="5" t="s">
        <v>28</v>
      </c>
      <c r="K180" s="5">
        <f t="shared" si="10"/>
        <v>4</v>
      </c>
      <c r="L180" s="5">
        <f t="shared" si="11"/>
        <v>4</v>
      </c>
      <c r="M180" s="5" t="str">
        <f t="shared" si="8"/>
        <v/>
      </c>
      <c r="N180" s="5" t="s">
        <v>757</v>
      </c>
      <c r="O180" s="5" t="s">
        <v>758</v>
      </c>
      <c r="P180" s="5" t="s">
        <v>759</v>
      </c>
      <c r="Q180" s="5"/>
    </row>
    <row r="181" spans="1:17">
      <c r="A181" s="9">
        <v>46178</v>
      </c>
      <c r="B181" s="5" t="s">
        <v>81</v>
      </c>
      <c r="C181" s="5" t="s">
        <v>82</v>
      </c>
      <c r="D181" s="5" t="s">
        <v>3391</v>
      </c>
      <c r="E181" s="5" t="s">
        <v>2453</v>
      </c>
      <c r="F181" s="5">
        <f t="shared" si="9"/>
        <v>21</v>
      </c>
      <c r="G181" s="5" t="s">
        <v>19</v>
      </c>
      <c r="H181" s="5" t="s">
        <v>20</v>
      </c>
      <c r="I181" s="5" t="s">
        <v>21</v>
      </c>
      <c r="J181" s="5" t="s">
        <v>21</v>
      </c>
      <c r="K181" s="5">
        <f t="shared" si="10"/>
        <v>3</v>
      </c>
      <c r="L181" s="5">
        <f t="shared" si="11"/>
        <v>3</v>
      </c>
      <c r="M181" s="5" t="str">
        <f t="shared" si="8"/>
        <v/>
      </c>
      <c r="N181" s="5" t="s">
        <v>761</v>
      </c>
      <c r="O181" s="5"/>
      <c r="P181" s="5"/>
      <c r="Q181" s="5"/>
    </row>
    <row r="182" spans="1:17">
      <c r="A182" s="9">
        <v>46178</v>
      </c>
      <c r="B182" s="5" t="s">
        <v>81</v>
      </c>
      <c r="C182" s="5" t="s">
        <v>82</v>
      </c>
      <c r="D182" s="5" t="s">
        <v>3394</v>
      </c>
      <c r="E182" s="5" t="s">
        <v>2454</v>
      </c>
      <c r="F182" s="5">
        <f t="shared" si="9"/>
        <v>47</v>
      </c>
      <c r="G182" s="5" t="s">
        <v>19</v>
      </c>
      <c r="H182" s="5" t="s">
        <v>20</v>
      </c>
      <c r="I182" s="5" t="s">
        <v>21</v>
      </c>
      <c r="J182" s="5" t="s">
        <v>21</v>
      </c>
      <c r="K182" s="5">
        <f t="shared" si="10"/>
        <v>3</v>
      </c>
      <c r="L182" s="5">
        <f t="shared" si="11"/>
        <v>3</v>
      </c>
      <c r="M182" s="5" t="str">
        <f t="shared" si="8"/>
        <v/>
      </c>
      <c r="N182" s="5" t="s">
        <v>763</v>
      </c>
      <c r="O182" s="5" t="s">
        <v>764</v>
      </c>
      <c r="P182" s="5"/>
      <c r="Q182" s="5"/>
    </row>
    <row r="183" spans="1:17">
      <c r="A183" s="9">
        <v>46178</v>
      </c>
      <c r="B183" s="5" t="s">
        <v>81</v>
      </c>
      <c r="C183" s="5" t="s">
        <v>50</v>
      </c>
      <c r="D183" s="5" t="s">
        <v>3381</v>
      </c>
      <c r="E183" s="5" t="s">
        <v>2455</v>
      </c>
      <c r="F183" s="5">
        <f t="shared" si="9"/>
        <v>22</v>
      </c>
      <c r="G183" s="5" t="s">
        <v>19</v>
      </c>
      <c r="H183" s="5" t="s">
        <v>20</v>
      </c>
      <c r="I183" s="5" t="s">
        <v>28</v>
      </c>
      <c r="J183" s="5" t="s">
        <v>28</v>
      </c>
      <c r="K183" s="5">
        <f t="shared" si="10"/>
        <v>4</v>
      </c>
      <c r="L183" s="5">
        <f t="shared" si="11"/>
        <v>4</v>
      </c>
      <c r="M183" s="5" t="str">
        <f t="shared" si="8"/>
        <v/>
      </c>
      <c r="N183" s="5" t="s">
        <v>3036</v>
      </c>
      <c r="O183" s="5" t="s">
        <v>3037</v>
      </c>
      <c r="P183" s="5" t="s">
        <v>2761</v>
      </c>
      <c r="Q183" s="5"/>
    </row>
    <row r="184" spans="1:17">
      <c r="A184" s="9">
        <v>46178</v>
      </c>
      <c r="B184" s="5" t="s">
        <v>81</v>
      </c>
      <c r="C184" s="5" t="s">
        <v>82</v>
      </c>
      <c r="D184" s="5" t="s">
        <v>95</v>
      </c>
      <c r="E184" s="5" t="s">
        <v>2456</v>
      </c>
      <c r="F184" s="5">
        <f t="shared" si="9"/>
        <v>23</v>
      </c>
      <c r="G184" s="5" t="s">
        <v>19</v>
      </c>
      <c r="H184" s="5" t="s">
        <v>20</v>
      </c>
      <c r="I184" s="5" t="s">
        <v>28</v>
      </c>
      <c r="J184" s="5" t="s">
        <v>28</v>
      </c>
      <c r="K184" s="5">
        <f t="shared" si="10"/>
        <v>4</v>
      </c>
      <c r="L184" s="5">
        <f t="shared" si="11"/>
        <v>4</v>
      </c>
      <c r="M184" s="5" t="str">
        <f t="shared" si="8"/>
        <v/>
      </c>
      <c r="N184" s="5" t="s">
        <v>769</v>
      </c>
      <c r="O184" s="5" t="s">
        <v>770</v>
      </c>
      <c r="P184" s="5" t="s">
        <v>770</v>
      </c>
      <c r="Q184" s="5" t="s">
        <v>771</v>
      </c>
    </row>
    <row r="185" spans="1:17">
      <c r="A185" s="9">
        <v>46178</v>
      </c>
      <c r="B185" s="5" t="s">
        <v>81</v>
      </c>
      <c r="C185" s="5" t="s">
        <v>82</v>
      </c>
      <c r="D185" s="5" t="s">
        <v>3394</v>
      </c>
      <c r="E185" s="5" t="s">
        <v>2457</v>
      </c>
      <c r="F185" s="5">
        <f t="shared" si="9"/>
        <v>31</v>
      </c>
      <c r="G185" s="5" t="s">
        <v>19</v>
      </c>
      <c r="H185" s="5" t="s">
        <v>20</v>
      </c>
      <c r="I185" s="5" t="s">
        <v>21</v>
      </c>
      <c r="J185" s="5" t="s">
        <v>28</v>
      </c>
      <c r="K185" s="5">
        <f t="shared" si="10"/>
        <v>3</v>
      </c>
      <c r="L185" s="5">
        <f t="shared" si="11"/>
        <v>4</v>
      </c>
      <c r="M185" s="5" t="str">
        <f t="shared" si="8"/>
        <v/>
      </c>
      <c r="N185" s="5" t="s">
        <v>3038</v>
      </c>
      <c r="O185" s="5" t="s">
        <v>3516</v>
      </c>
      <c r="P185" s="5" t="s">
        <v>775</v>
      </c>
      <c r="Q185" s="5"/>
    </row>
    <row r="186" spans="1:17">
      <c r="A186" s="9">
        <v>46178</v>
      </c>
      <c r="B186" s="5" t="s">
        <v>81</v>
      </c>
      <c r="C186" s="5" t="s">
        <v>82</v>
      </c>
      <c r="D186" s="5" t="s">
        <v>3394</v>
      </c>
      <c r="E186" s="5" t="s">
        <v>2458</v>
      </c>
      <c r="F186" s="5">
        <f t="shared" si="9"/>
        <v>37</v>
      </c>
      <c r="G186" s="5" t="s">
        <v>19</v>
      </c>
      <c r="H186" s="5" t="s">
        <v>45</v>
      </c>
      <c r="I186" s="5" t="s">
        <v>21</v>
      </c>
      <c r="J186" s="5" t="s">
        <v>21</v>
      </c>
      <c r="K186" s="5">
        <f t="shared" si="10"/>
        <v>3</v>
      </c>
      <c r="L186" s="5">
        <f t="shared" si="11"/>
        <v>3</v>
      </c>
      <c r="M186" s="5" t="str">
        <f t="shared" si="8"/>
        <v/>
      </c>
      <c r="N186" s="5" t="s">
        <v>3039</v>
      </c>
      <c r="O186" s="5" t="s">
        <v>3040</v>
      </c>
      <c r="P186" s="5" t="s">
        <v>779</v>
      </c>
      <c r="Q186" s="5"/>
    </row>
    <row r="187" spans="1:17">
      <c r="A187" s="9">
        <v>46178</v>
      </c>
      <c r="B187" s="5" t="s">
        <v>81</v>
      </c>
      <c r="C187" s="5" t="s">
        <v>82</v>
      </c>
      <c r="D187" s="5" t="s">
        <v>3394</v>
      </c>
      <c r="E187" s="5" t="s">
        <v>2459</v>
      </c>
      <c r="F187" s="5">
        <f t="shared" si="9"/>
        <v>23</v>
      </c>
      <c r="G187" s="5" t="s">
        <v>19</v>
      </c>
      <c r="H187" s="5" t="s">
        <v>20</v>
      </c>
      <c r="I187" s="5" t="s">
        <v>21</v>
      </c>
      <c r="J187" s="5" t="s">
        <v>21</v>
      </c>
      <c r="K187" s="5">
        <f t="shared" si="10"/>
        <v>3</v>
      </c>
      <c r="L187" s="5">
        <f t="shared" si="11"/>
        <v>3</v>
      </c>
      <c r="M187" s="5" t="str">
        <f t="shared" si="8"/>
        <v/>
      </c>
      <c r="N187" s="5" t="s">
        <v>781</v>
      </c>
      <c r="O187" s="5"/>
      <c r="P187" s="5"/>
      <c r="Q187" s="5"/>
    </row>
    <row r="188" spans="1:17">
      <c r="A188" s="9">
        <v>46178</v>
      </c>
      <c r="B188" s="5" t="s">
        <v>15</v>
      </c>
      <c r="C188" s="5" t="s">
        <v>39</v>
      </c>
      <c r="D188" s="5" t="s">
        <v>3383</v>
      </c>
      <c r="E188" s="5" t="s">
        <v>2460</v>
      </c>
      <c r="F188" s="5">
        <f t="shared" si="9"/>
        <v>20</v>
      </c>
      <c r="G188" s="5" t="s">
        <v>19</v>
      </c>
      <c r="H188" s="5" t="s">
        <v>20</v>
      </c>
      <c r="I188" s="5" t="s">
        <v>21</v>
      </c>
      <c r="J188" s="5" t="s">
        <v>21</v>
      </c>
      <c r="K188" s="5">
        <f t="shared" si="10"/>
        <v>3</v>
      </c>
      <c r="L188" s="5">
        <f t="shared" si="11"/>
        <v>3</v>
      </c>
      <c r="M188" s="5" t="str">
        <f t="shared" si="8"/>
        <v/>
      </c>
      <c r="N188" s="5" t="s">
        <v>3041</v>
      </c>
      <c r="O188" s="5"/>
      <c r="P188" s="5"/>
      <c r="Q188" s="5" t="s">
        <v>784</v>
      </c>
    </row>
    <row r="189" spans="1:17">
      <c r="A189" s="9">
        <v>46178</v>
      </c>
      <c r="B189" s="5" t="s">
        <v>81</v>
      </c>
      <c r="C189" s="5" t="s">
        <v>82</v>
      </c>
      <c r="D189" s="5" t="s">
        <v>3394</v>
      </c>
      <c r="E189" s="5" t="s">
        <v>2783</v>
      </c>
      <c r="F189" s="5">
        <f t="shared" si="9"/>
        <v>23</v>
      </c>
      <c r="G189" s="5" t="s">
        <v>19</v>
      </c>
      <c r="H189" s="5" t="s">
        <v>20</v>
      </c>
      <c r="I189" s="5" t="s">
        <v>21</v>
      </c>
      <c r="J189" s="5" t="s">
        <v>28</v>
      </c>
      <c r="K189" s="5">
        <f t="shared" si="10"/>
        <v>3</v>
      </c>
      <c r="L189" s="5">
        <f t="shared" si="11"/>
        <v>4</v>
      </c>
      <c r="M189" s="5" t="str">
        <f t="shared" si="8"/>
        <v/>
      </c>
      <c r="N189" s="5" t="s">
        <v>3517</v>
      </c>
      <c r="O189" s="5" t="s">
        <v>3518</v>
      </c>
      <c r="P189" s="5" t="s">
        <v>788</v>
      </c>
      <c r="Q189" s="5"/>
    </row>
    <row r="190" spans="1:17">
      <c r="A190" s="9">
        <v>46178</v>
      </c>
      <c r="B190" s="5" t="s">
        <v>81</v>
      </c>
      <c r="C190" s="5" t="s">
        <v>82</v>
      </c>
      <c r="D190" s="5" t="s">
        <v>3394</v>
      </c>
      <c r="E190" s="5" t="s">
        <v>2461</v>
      </c>
      <c r="F190" s="5">
        <f t="shared" si="9"/>
        <v>20</v>
      </c>
      <c r="G190" s="5" t="s">
        <v>19</v>
      </c>
      <c r="H190" s="5" t="s">
        <v>20</v>
      </c>
      <c r="I190" s="5" t="s">
        <v>21</v>
      </c>
      <c r="J190" s="5" t="s">
        <v>21</v>
      </c>
      <c r="K190" s="5">
        <f t="shared" si="10"/>
        <v>3</v>
      </c>
      <c r="L190" s="5">
        <f t="shared" si="11"/>
        <v>3</v>
      </c>
      <c r="M190" s="5" t="str">
        <f t="shared" si="8"/>
        <v/>
      </c>
      <c r="N190" s="5" t="s">
        <v>790</v>
      </c>
      <c r="O190" s="5" t="s">
        <v>513</v>
      </c>
      <c r="P190" s="5" t="s">
        <v>791</v>
      </c>
      <c r="Q190" s="5"/>
    </row>
    <row r="191" spans="1:17">
      <c r="A191" s="9">
        <v>46178</v>
      </c>
      <c r="B191" s="5" t="s">
        <v>81</v>
      </c>
      <c r="C191" s="5" t="s">
        <v>82</v>
      </c>
      <c r="D191" s="5" t="s">
        <v>95</v>
      </c>
      <c r="E191" s="5" t="s">
        <v>2462</v>
      </c>
      <c r="F191" s="5">
        <f t="shared" si="9"/>
        <v>34</v>
      </c>
      <c r="G191" s="5" t="s">
        <v>19</v>
      </c>
      <c r="H191" s="5" t="s">
        <v>20</v>
      </c>
      <c r="I191" s="5" t="s">
        <v>28</v>
      </c>
      <c r="J191" s="5" t="s">
        <v>28</v>
      </c>
      <c r="K191" s="5">
        <f t="shared" si="10"/>
        <v>4</v>
      </c>
      <c r="L191" s="5">
        <f t="shared" si="11"/>
        <v>4</v>
      </c>
      <c r="M191" s="5" t="str">
        <f t="shared" si="8"/>
        <v/>
      </c>
      <c r="N191" s="5" t="s">
        <v>3519</v>
      </c>
      <c r="O191" s="5" t="s">
        <v>794</v>
      </c>
      <c r="P191" s="5"/>
      <c r="Q191" s="5" t="s">
        <v>3520</v>
      </c>
    </row>
    <row r="192" spans="1:17">
      <c r="A192" s="9">
        <v>46178</v>
      </c>
      <c r="B192" s="5" t="s">
        <v>81</v>
      </c>
      <c r="C192" s="5" t="s">
        <v>50</v>
      </c>
      <c r="D192" s="5" t="s">
        <v>3387</v>
      </c>
      <c r="E192" s="5" t="s">
        <v>2463</v>
      </c>
      <c r="F192" s="5">
        <f t="shared" si="9"/>
        <v>24</v>
      </c>
      <c r="G192" s="5" t="s">
        <v>19</v>
      </c>
      <c r="H192" s="5" t="s">
        <v>20</v>
      </c>
      <c r="I192" s="5" t="s">
        <v>21</v>
      </c>
      <c r="J192" s="5" t="s">
        <v>21</v>
      </c>
      <c r="K192" s="5">
        <f t="shared" si="10"/>
        <v>3</v>
      </c>
      <c r="L192" s="5">
        <f t="shared" si="11"/>
        <v>3</v>
      </c>
      <c r="M192" s="5" t="str">
        <f t="shared" si="8"/>
        <v/>
      </c>
      <c r="N192" s="5" t="s">
        <v>797</v>
      </c>
      <c r="O192" s="5" t="s">
        <v>3521</v>
      </c>
      <c r="P192" s="5" t="s">
        <v>3042</v>
      </c>
      <c r="Q192" s="5"/>
    </row>
    <row r="193" spans="1:17">
      <c r="A193" s="9">
        <v>46178</v>
      </c>
      <c r="B193" s="5" t="s">
        <v>15</v>
      </c>
      <c r="C193" s="5" t="s">
        <v>39</v>
      </c>
      <c r="D193" s="5" t="s">
        <v>3383</v>
      </c>
      <c r="E193" s="5" t="s">
        <v>2464</v>
      </c>
      <c r="F193" s="5">
        <f t="shared" si="9"/>
        <v>29</v>
      </c>
      <c r="G193" s="5" t="s">
        <v>19</v>
      </c>
      <c r="H193" s="5" t="s">
        <v>20</v>
      </c>
      <c r="I193" s="5" t="s">
        <v>21</v>
      </c>
      <c r="J193" s="5" t="s">
        <v>21</v>
      </c>
      <c r="K193" s="5">
        <f t="shared" si="10"/>
        <v>3</v>
      </c>
      <c r="L193" s="5">
        <f t="shared" si="11"/>
        <v>3</v>
      </c>
      <c r="M193" s="5" t="str">
        <f t="shared" si="8"/>
        <v/>
      </c>
      <c r="N193" s="5" t="s">
        <v>801</v>
      </c>
      <c r="O193" s="5" t="s">
        <v>802</v>
      </c>
      <c r="P193" s="5" t="s">
        <v>803</v>
      </c>
      <c r="Q193" s="5"/>
    </row>
    <row r="194" spans="1:17">
      <c r="A194" s="9">
        <v>46178</v>
      </c>
      <c r="B194" s="5" t="s">
        <v>81</v>
      </c>
      <c r="C194" s="5" t="s">
        <v>82</v>
      </c>
      <c r="D194" s="5" t="s">
        <v>3391</v>
      </c>
      <c r="E194" s="5" t="s">
        <v>3043</v>
      </c>
      <c r="F194" s="5">
        <f t="shared" si="9"/>
        <v>50</v>
      </c>
      <c r="G194" s="5" t="s">
        <v>19</v>
      </c>
      <c r="H194" s="5" t="s">
        <v>20</v>
      </c>
      <c r="I194" s="5" t="s">
        <v>28</v>
      </c>
      <c r="J194" s="5" t="s">
        <v>28</v>
      </c>
      <c r="K194" s="5">
        <f t="shared" si="10"/>
        <v>4</v>
      </c>
      <c r="L194" s="5">
        <f t="shared" si="11"/>
        <v>4</v>
      </c>
      <c r="M194" s="5" t="str">
        <f t="shared" ref="M194:M257" si="12">IF(OR(I194="Poor",I194="Very Poor"),"YES","")</f>
        <v/>
      </c>
      <c r="N194" s="5" t="s">
        <v>805</v>
      </c>
      <c r="O194" s="5" t="s">
        <v>3044</v>
      </c>
      <c r="P194" s="5" t="s">
        <v>3045</v>
      </c>
      <c r="Q194" s="5" t="s">
        <v>2819</v>
      </c>
    </row>
    <row r="195" spans="1:17">
      <c r="A195" s="9">
        <v>46178</v>
      </c>
      <c r="B195" s="5" t="s">
        <v>15</v>
      </c>
      <c r="C195" s="5" t="s">
        <v>39</v>
      </c>
      <c r="D195" s="5" t="s">
        <v>3383</v>
      </c>
      <c r="E195" s="5" t="s">
        <v>2465</v>
      </c>
      <c r="F195" s="5">
        <f t="shared" ref="F195:F258" si="13">LEN(E195)</f>
        <v>21</v>
      </c>
      <c r="G195" s="5" t="s">
        <v>19</v>
      </c>
      <c r="H195" s="5" t="s">
        <v>45</v>
      </c>
      <c r="I195" s="5" t="s">
        <v>28</v>
      </c>
      <c r="J195" s="5" t="s">
        <v>28</v>
      </c>
      <c r="K195" s="5">
        <f t="shared" ref="K195:K258" si="14">IF(I195="Very Good",4,IF(I195="Good",3,IF(I195="Poor",2,IF(I195="Very Poor",1,""))))</f>
        <v>4</v>
      </c>
      <c r="L195" s="5">
        <f t="shared" ref="L195:L258" si="15">IF(J195="Very Good",4,IF(J195="Good",3,IF(J195="Poor",2,IF(J195="Very Poor",1,""))))</f>
        <v>4</v>
      </c>
      <c r="M195" s="5" t="str">
        <f t="shared" si="12"/>
        <v/>
      </c>
      <c r="N195" s="5" t="s">
        <v>3046</v>
      </c>
      <c r="O195" s="5" t="s">
        <v>811</v>
      </c>
      <c r="P195" s="5"/>
      <c r="Q195" s="5"/>
    </row>
    <row r="196" spans="1:17">
      <c r="A196" s="9">
        <v>46178</v>
      </c>
      <c r="B196" s="5" t="s">
        <v>81</v>
      </c>
      <c r="C196" s="5" t="s">
        <v>82</v>
      </c>
      <c r="D196" s="5" t="s">
        <v>3394</v>
      </c>
      <c r="E196" s="5" t="s">
        <v>2466</v>
      </c>
      <c r="F196" s="5">
        <f t="shared" si="13"/>
        <v>21</v>
      </c>
      <c r="G196" s="5" t="s">
        <v>19</v>
      </c>
      <c r="H196" s="5" t="s">
        <v>20</v>
      </c>
      <c r="I196" s="5" t="s">
        <v>28</v>
      </c>
      <c r="J196" s="5" t="s">
        <v>21</v>
      </c>
      <c r="K196" s="5">
        <f t="shared" si="14"/>
        <v>4</v>
      </c>
      <c r="L196" s="5">
        <f t="shared" si="15"/>
        <v>3</v>
      </c>
      <c r="M196" s="5" t="str">
        <f t="shared" si="12"/>
        <v/>
      </c>
      <c r="N196" s="5" t="s">
        <v>3403</v>
      </c>
      <c r="O196" s="5"/>
      <c r="P196" s="5" t="s">
        <v>3522</v>
      </c>
      <c r="Q196" s="5"/>
    </row>
    <row r="197" spans="1:17">
      <c r="A197" s="9">
        <v>46178</v>
      </c>
      <c r="B197" s="5" t="s">
        <v>81</v>
      </c>
      <c r="C197" s="5" t="s">
        <v>82</v>
      </c>
      <c r="D197" s="5" t="s">
        <v>3394</v>
      </c>
      <c r="E197" s="5" t="s">
        <v>2467</v>
      </c>
      <c r="F197" s="5">
        <f t="shared" si="13"/>
        <v>27</v>
      </c>
      <c r="G197" s="5" t="s">
        <v>19</v>
      </c>
      <c r="H197" s="5" t="s">
        <v>20</v>
      </c>
      <c r="I197" s="5" t="s">
        <v>186</v>
      </c>
      <c r="J197" s="5" t="s">
        <v>21</v>
      </c>
      <c r="K197" s="5">
        <f t="shared" si="14"/>
        <v>2</v>
      </c>
      <c r="L197" s="5">
        <f t="shared" si="15"/>
        <v>3</v>
      </c>
      <c r="M197" s="5" t="str">
        <f t="shared" si="12"/>
        <v>YES</v>
      </c>
      <c r="N197" s="5" t="s">
        <v>3047</v>
      </c>
      <c r="O197" s="5"/>
      <c r="P197" s="5" t="s">
        <v>3048</v>
      </c>
      <c r="Q197" s="5"/>
    </row>
    <row r="198" spans="1:17">
      <c r="A198" s="9">
        <v>46178</v>
      </c>
      <c r="B198" s="5" t="s">
        <v>150</v>
      </c>
      <c r="C198" s="5" t="s">
        <v>3389</v>
      </c>
      <c r="D198" s="5" t="s">
        <v>150</v>
      </c>
      <c r="E198" s="5" t="s">
        <v>3049</v>
      </c>
      <c r="F198" s="5">
        <f t="shared" si="13"/>
        <v>34</v>
      </c>
      <c r="G198" s="5" t="s">
        <v>19</v>
      </c>
      <c r="H198" s="5" t="s">
        <v>20</v>
      </c>
      <c r="I198" s="5" t="s">
        <v>21</v>
      </c>
      <c r="J198" s="5" t="s">
        <v>21</v>
      </c>
      <c r="K198" s="5">
        <f t="shared" si="14"/>
        <v>3</v>
      </c>
      <c r="L198" s="5">
        <f t="shared" si="15"/>
        <v>3</v>
      </c>
      <c r="M198" s="5" t="str">
        <f t="shared" si="12"/>
        <v/>
      </c>
      <c r="N198" s="5" t="s">
        <v>3050</v>
      </c>
      <c r="O198" s="5" t="s">
        <v>820</v>
      </c>
      <c r="P198" s="5"/>
      <c r="Q198" s="5"/>
    </row>
    <row r="199" spans="1:17">
      <c r="A199" s="9">
        <v>46178</v>
      </c>
      <c r="B199" s="5" t="s">
        <v>81</v>
      </c>
      <c r="C199" s="5" t="s">
        <v>82</v>
      </c>
      <c r="D199" s="5" t="s">
        <v>3391</v>
      </c>
      <c r="E199" s="5" t="s">
        <v>2468</v>
      </c>
      <c r="F199" s="5">
        <f t="shared" si="13"/>
        <v>24</v>
      </c>
      <c r="G199" s="5" t="s">
        <v>19</v>
      </c>
      <c r="H199" s="5" t="s">
        <v>20</v>
      </c>
      <c r="I199" s="5" t="s">
        <v>28</v>
      </c>
      <c r="J199" s="5" t="s">
        <v>28</v>
      </c>
      <c r="K199" s="5">
        <f t="shared" si="14"/>
        <v>4</v>
      </c>
      <c r="L199" s="5">
        <f t="shared" si="15"/>
        <v>4</v>
      </c>
      <c r="M199" s="5" t="str">
        <f t="shared" si="12"/>
        <v/>
      </c>
      <c r="N199" s="5" t="s">
        <v>3051</v>
      </c>
      <c r="O199" s="5" t="s">
        <v>3052</v>
      </c>
      <c r="P199" s="5" t="s">
        <v>3523</v>
      </c>
      <c r="Q199" s="5" t="s">
        <v>3524</v>
      </c>
    </row>
    <row r="200" spans="1:17">
      <c r="A200" s="9">
        <v>46178</v>
      </c>
      <c r="B200" s="5" t="s">
        <v>15</v>
      </c>
      <c r="C200" s="5" t="s">
        <v>16</v>
      </c>
      <c r="D200" s="5" t="s">
        <v>17</v>
      </c>
      <c r="E200" s="5" t="s">
        <v>2469</v>
      </c>
      <c r="F200" s="5">
        <f t="shared" si="13"/>
        <v>30</v>
      </c>
      <c r="G200" s="5" t="s">
        <v>107</v>
      </c>
      <c r="H200" s="5" t="s">
        <v>20</v>
      </c>
      <c r="I200" s="5" t="s">
        <v>21</v>
      </c>
      <c r="J200" s="5" t="s">
        <v>28</v>
      </c>
      <c r="K200" s="5">
        <f t="shared" si="14"/>
        <v>3</v>
      </c>
      <c r="L200" s="5">
        <f t="shared" si="15"/>
        <v>4</v>
      </c>
      <c r="M200" s="5" t="str">
        <f t="shared" si="12"/>
        <v/>
      </c>
      <c r="N200" s="5" t="s">
        <v>3053</v>
      </c>
      <c r="O200" s="5" t="s">
        <v>828</v>
      </c>
      <c r="P200" s="5" t="s">
        <v>829</v>
      </c>
      <c r="Q200" s="5"/>
    </row>
    <row r="201" spans="1:17">
      <c r="A201" s="9">
        <v>46178</v>
      </c>
      <c r="B201" s="5" t="s">
        <v>15</v>
      </c>
      <c r="C201" s="5" t="s">
        <v>33</v>
      </c>
      <c r="D201" s="5" t="s">
        <v>62</v>
      </c>
      <c r="E201" s="5" t="s">
        <v>2470</v>
      </c>
      <c r="F201" s="5">
        <f t="shared" si="13"/>
        <v>33</v>
      </c>
      <c r="G201" s="5" t="s">
        <v>19</v>
      </c>
      <c r="H201" s="5" t="s">
        <v>20</v>
      </c>
      <c r="I201" s="5" t="s">
        <v>186</v>
      </c>
      <c r="J201" s="5" t="s">
        <v>28</v>
      </c>
      <c r="K201" s="5">
        <f t="shared" si="14"/>
        <v>2</v>
      </c>
      <c r="L201" s="5">
        <f t="shared" si="15"/>
        <v>4</v>
      </c>
      <c r="M201" s="5" t="str">
        <f t="shared" si="12"/>
        <v>YES</v>
      </c>
      <c r="N201" s="5" t="s">
        <v>831</v>
      </c>
      <c r="O201" s="5" t="s">
        <v>3054</v>
      </c>
      <c r="P201" s="5" t="s">
        <v>3055</v>
      </c>
      <c r="Q201" s="5"/>
    </row>
    <row r="202" spans="1:17">
      <c r="A202" s="9">
        <v>46178</v>
      </c>
      <c r="B202" s="5" t="s">
        <v>81</v>
      </c>
      <c r="C202" s="5" t="s">
        <v>82</v>
      </c>
      <c r="D202" s="5" t="s">
        <v>83</v>
      </c>
      <c r="E202" s="5" t="s">
        <v>2471</v>
      </c>
      <c r="F202" s="5">
        <f t="shared" si="13"/>
        <v>24</v>
      </c>
      <c r="G202" s="5" t="s">
        <v>19</v>
      </c>
      <c r="H202" s="5" t="s">
        <v>20</v>
      </c>
      <c r="I202" s="5" t="s">
        <v>21</v>
      </c>
      <c r="J202" s="5" t="s">
        <v>21</v>
      </c>
      <c r="K202" s="5">
        <f t="shared" si="14"/>
        <v>3</v>
      </c>
      <c r="L202" s="5">
        <f t="shared" si="15"/>
        <v>3</v>
      </c>
      <c r="M202" s="5" t="str">
        <f t="shared" si="12"/>
        <v/>
      </c>
      <c r="N202" s="5" t="s">
        <v>3525</v>
      </c>
      <c r="O202" s="5" t="s">
        <v>836</v>
      </c>
      <c r="P202" s="5" t="s">
        <v>837</v>
      </c>
      <c r="Q202" s="5"/>
    </row>
    <row r="203" spans="1:17">
      <c r="A203" s="9">
        <v>46178</v>
      </c>
      <c r="B203" s="5" t="s">
        <v>81</v>
      </c>
      <c r="C203" s="5" t="s">
        <v>50</v>
      </c>
      <c r="D203" s="5" t="s">
        <v>3387</v>
      </c>
      <c r="E203" s="5" t="s">
        <v>2472</v>
      </c>
      <c r="F203" s="5">
        <f t="shared" si="13"/>
        <v>28</v>
      </c>
      <c r="G203" s="5" t="s">
        <v>19</v>
      </c>
      <c r="H203" s="5" t="s">
        <v>20</v>
      </c>
      <c r="I203" s="5" t="s">
        <v>21</v>
      </c>
      <c r="J203" s="5" t="s">
        <v>21</v>
      </c>
      <c r="K203" s="5">
        <f t="shared" si="14"/>
        <v>3</v>
      </c>
      <c r="L203" s="5">
        <f t="shared" si="15"/>
        <v>3</v>
      </c>
      <c r="M203" s="5" t="str">
        <f t="shared" si="12"/>
        <v/>
      </c>
      <c r="N203" s="5" t="s">
        <v>3056</v>
      </c>
      <c r="O203" s="5" t="s">
        <v>3057</v>
      </c>
      <c r="P203" s="5" t="s">
        <v>3058</v>
      </c>
      <c r="Q203" s="5"/>
    </row>
    <row r="204" spans="1:17">
      <c r="A204" s="9">
        <v>46178</v>
      </c>
      <c r="B204" s="5" t="s">
        <v>81</v>
      </c>
      <c r="C204" s="5" t="s">
        <v>82</v>
      </c>
      <c r="D204" s="5" t="s">
        <v>95</v>
      </c>
      <c r="E204" s="5" t="s">
        <v>2473</v>
      </c>
      <c r="F204" s="5">
        <f t="shared" si="13"/>
        <v>20</v>
      </c>
      <c r="G204" s="5" t="s">
        <v>19</v>
      </c>
      <c r="H204" s="5" t="s">
        <v>20</v>
      </c>
      <c r="I204" s="5" t="s">
        <v>604</v>
      </c>
      <c r="J204" s="5" t="s">
        <v>604</v>
      </c>
      <c r="K204" s="5">
        <f t="shared" si="14"/>
        <v>1</v>
      </c>
      <c r="L204" s="5">
        <f t="shared" si="15"/>
        <v>1</v>
      </c>
      <c r="M204" s="5" t="str">
        <f t="shared" si="12"/>
        <v>YES</v>
      </c>
      <c r="N204" s="5" t="s">
        <v>3526</v>
      </c>
      <c r="O204" s="5" t="s">
        <v>844</v>
      </c>
      <c r="P204" s="5" t="s">
        <v>845</v>
      </c>
      <c r="Q204" s="5" t="s">
        <v>846</v>
      </c>
    </row>
    <row r="205" spans="1:17">
      <c r="A205" s="9">
        <v>46178</v>
      </c>
      <c r="B205" s="5" t="s">
        <v>81</v>
      </c>
      <c r="C205" s="5" t="s">
        <v>82</v>
      </c>
      <c r="D205" s="5" t="s">
        <v>3394</v>
      </c>
      <c r="E205" s="5" t="s">
        <v>2474</v>
      </c>
      <c r="F205" s="5">
        <f t="shared" si="13"/>
        <v>27</v>
      </c>
      <c r="G205" s="5" t="s">
        <v>19</v>
      </c>
      <c r="H205" s="5" t="s">
        <v>20</v>
      </c>
      <c r="I205" s="5" t="s">
        <v>21</v>
      </c>
      <c r="J205" s="5" t="s">
        <v>21</v>
      </c>
      <c r="K205" s="5">
        <f t="shared" si="14"/>
        <v>3</v>
      </c>
      <c r="L205" s="5">
        <f t="shared" si="15"/>
        <v>3</v>
      </c>
      <c r="M205" s="5" t="str">
        <f t="shared" si="12"/>
        <v/>
      </c>
      <c r="N205" s="5" t="s">
        <v>3059</v>
      </c>
      <c r="O205" s="5" t="s">
        <v>3060</v>
      </c>
      <c r="P205" s="5" t="s">
        <v>850</v>
      </c>
      <c r="Q205" s="5"/>
    </row>
    <row r="206" spans="1:17">
      <c r="A206" s="9">
        <v>46178</v>
      </c>
      <c r="B206" s="5" t="s">
        <v>81</v>
      </c>
      <c r="C206" s="5" t="s">
        <v>82</v>
      </c>
      <c r="D206" s="5" t="s">
        <v>3394</v>
      </c>
      <c r="E206" s="5" t="s">
        <v>3061</v>
      </c>
      <c r="F206" s="5">
        <f t="shared" si="13"/>
        <v>27</v>
      </c>
      <c r="G206" s="5" t="s">
        <v>19</v>
      </c>
      <c r="H206" s="5" t="s">
        <v>20</v>
      </c>
      <c r="I206" s="5" t="s">
        <v>21</v>
      </c>
      <c r="J206" s="5" t="s">
        <v>21</v>
      </c>
      <c r="K206" s="5">
        <f t="shared" si="14"/>
        <v>3</v>
      </c>
      <c r="L206" s="5">
        <f t="shared" si="15"/>
        <v>3</v>
      </c>
      <c r="M206" s="5" t="str">
        <f t="shared" si="12"/>
        <v/>
      </c>
      <c r="N206" s="5" t="s">
        <v>852</v>
      </c>
      <c r="O206" s="5"/>
      <c r="P206" s="5"/>
      <c r="Q206" s="5"/>
    </row>
    <row r="207" spans="1:17">
      <c r="A207" s="9">
        <v>46178</v>
      </c>
      <c r="B207" s="5" t="s">
        <v>15</v>
      </c>
      <c r="C207" s="5" t="s">
        <v>16</v>
      </c>
      <c r="D207" s="5" t="s">
        <v>17</v>
      </c>
      <c r="E207" s="5" t="s">
        <v>2475</v>
      </c>
      <c r="F207" s="5">
        <f t="shared" si="13"/>
        <v>25</v>
      </c>
      <c r="G207" s="5" t="s">
        <v>107</v>
      </c>
      <c r="H207" s="5" t="s">
        <v>20</v>
      </c>
      <c r="I207" s="5" t="s">
        <v>21</v>
      </c>
      <c r="J207" s="5" t="s">
        <v>21</v>
      </c>
      <c r="K207" s="5">
        <f t="shared" si="14"/>
        <v>3</v>
      </c>
      <c r="L207" s="5">
        <f t="shared" si="15"/>
        <v>3</v>
      </c>
      <c r="M207" s="5" t="str">
        <f t="shared" si="12"/>
        <v/>
      </c>
      <c r="N207" s="5" t="s">
        <v>854</v>
      </c>
      <c r="O207" s="5" t="s">
        <v>855</v>
      </c>
      <c r="P207" s="5" t="s">
        <v>856</v>
      </c>
      <c r="Q207" s="5"/>
    </row>
    <row r="208" spans="1:17">
      <c r="A208" s="9">
        <v>46178</v>
      </c>
      <c r="B208" s="5" t="s">
        <v>15</v>
      </c>
      <c r="C208" s="5" t="s">
        <v>39</v>
      </c>
      <c r="D208" s="5" t="s">
        <v>3382</v>
      </c>
      <c r="E208" s="5" t="s">
        <v>2476</v>
      </c>
      <c r="F208" s="5">
        <f t="shared" si="13"/>
        <v>29</v>
      </c>
      <c r="G208" s="5" t="s">
        <v>19</v>
      </c>
      <c r="H208" s="5" t="s">
        <v>45</v>
      </c>
      <c r="I208" s="5" t="s">
        <v>28</v>
      </c>
      <c r="J208" s="5" t="s">
        <v>28</v>
      </c>
      <c r="K208" s="5">
        <f t="shared" si="14"/>
        <v>4</v>
      </c>
      <c r="L208" s="5">
        <f t="shared" si="15"/>
        <v>4</v>
      </c>
      <c r="M208" s="5" t="str">
        <f t="shared" si="12"/>
        <v/>
      </c>
      <c r="N208" s="5" t="s">
        <v>3062</v>
      </c>
      <c r="O208" s="5" t="s">
        <v>3063</v>
      </c>
      <c r="P208" s="5" t="s">
        <v>860</v>
      </c>
      <c r="Q208" s="5" t="s">
        <v>123</v>
      </c>
    </row>
    <row r="209" spans="1:17">
      <c r="A209" s="9">
        <v>46178</v>
      </c>
      <c r="B209" s="5" t="s">
        <v>81</v>
      </c>
      <c r="C209" s="5" t="s">
        <v>82</v>
      </c>
      <c r="D209" s="5" t="s">
        <v>3394</v>
      </c>
      <c r="E209" s="5" t="s">
        <v>2477</v>
      </c>
      <c r="F209" s="5">
        <f t="shared" si="13"/>
        <v>25</v>
      </c>
      <c r="G209" s="5" t="s">
        <v>19</v>
      </c>
      <c r="H209" s="5" t="s">
        <v>20</v>
      </c>
      <c r="I209" s="5" t="s">
        <v>21</v>
      </c>
      <c r="J209" s="5" t="s">
        <v>28</v>
      </c>
      <c r="K209" s="5">
        <f t="shared" si="14"/>
        <v>3</v>
      </c>
      <c r="L209" s="5">
        <f t="shared" si="15"/>
        <v>4</v>
      </c>
      <c r="M209" s="5" t="str">
        <f t="shared" si="12"/>
        <v/>
      </c>
      <c r="N209" s="5" t="s">
        <v>862</v>
      </c>
      <c r="O209" s="5"/>
      <c r="P209" s="5"/>
      <c r="Q209" s="5" t="s">
        <v>863</v>
      </c>
    </row>
    <row r="210" spans="1:17">
      <c r="A210" s="9">
        <v>46178</v>
      </c>
      <c r="B210" s="5" t="s">
        <v>15</v>
      </c>
      <c r="C210" s="5" t="s">
        <v>16</v>
      </c>
      <c r="D210" s="5" t="s">
        <v>105</v>
      </c>
      <c r="E210" s="5" t="s">
        <v>2478</v>
      </c>
      <c r="F210" s="5">
        <f t="shared" si="13"/>
        <v>43</v>
      </c>
      <c r="G210" s="5" t="s">
        <v>19</v>
      </c>
      <c r="H210" s="5" t="s">
        <v>45</v>
      </c>
      <c r="I210" s="5" t="s">
        <v>28</v>
      </c>
      <c r="J210" s="5" t="s">
        <v>28</v>
      </c>
      <c r="K210" s="5">
        <f t="shared" si="14"/>
        <v>4</v>
      </c>
      <c r="L210" s="5">
        <f t="shared" si="15"/>
        <v>4</v>
      </c>
      <c r="M210" s="5" t="str">
        <f t="shared" si="12"/>
        <v/>
      </c>
      <c r="N210" s="5" t="s">
        <v>865</v>
      </c>
      <c r="O210" s="5" t="s">
        <v>866</v>
      </c>
      <c r="P210" s="5" t="s">
        <v>867</v>
      </c>
      <c r="Q210" s="5"/>
    </row>
    <row r="211" spans="1:17">
      <c r="A211" s="9">
        <v>46178</v>
      </c>
      <c r="B211" s="5" t="s">
        <v>81</v>
      </c>
      <c r="C211" s="5" t="s">
        <v>82</v>
      </c>
      <c r="D211" s="5" t="s">
        <v>3394</v>
      </c>
      <c r="E211" s="5" t="s">
        <v>3064</v>
      </c>
      <c r="F211" s="5">
        <f t="shared" si="13"/>
        <v>24</v>
      </c>
      <c r="G211" s="5" t="s">
        <v>19</v>
      </c>
      <c r="H211" s="5" t="s">
        <v>20</v>
      </c>
      <c r="I211" s="5" t="s">
        <v>21</v>
      </c>
      <c r="J211" s="5" t="s">
        <v>21</v>
      </c>
      <c r="K211" s="5">
        <f t="shared" si="14"/>
        <v>3</v>
      </c>
      <c r="L211" s="5">
        <f t="shared" si="15"/>
        <v>3</v>
      </c>
      <c r="M211" s="5" t="str">
        <f t="shared" si="12"/>
        <v/>
      </c>
      <c r="N211" s="5" t="s">
        <v>3527</v>
      </c>
      <c r="O211" s="5" t="s">
        <v>3528</v>
      </c>
      <c r="P211" s="5" t="s">
        <v>871</v>
      </c>
      <c r="Q211" s="5"/>
    </row>
    <row r="212" spans="1:17">
      <c r="A212" s="9">
        <v>46178</v>
      </c>
      <c r="B212" s="5" t="s">
        <v>15</v>
      </c>
      <c r="C212" s="5" t="s">
        <v>33</v>
      </c>
      <c r="D212" s="5" t="s">
        <v>553</v>
      </c>
      <c r="E212" s="5" t="s">
        <v>2479</v>
      </c>
      <c r="F212" s="5">
        <f t="shared" si="13"/>
        <v>25</v>
      </c>
      <c r="G212" s="5" t="s">
        <v>107</v>
      </c>
      <c r="H212" s="5" t="s">
        <v>20</v>
      </c>
      <c r="I212" s="5" t="s">
        <v>21</v>
      </c>
      <c r="J212" s="5" t="s">
        <v>21</v>
      </c>
      <c r="K212" s="5">
        <f t="shared" si="14"/>
        <v>3</v>
      </c>
      <c r="L212" s="5">
        <f t="shared" si="15"/>
        <v>3</v>
      </c>
      <c r="M212" s="5" t="str">
        <f t="shared" si="12"/>
        <v/>
      </c>
      <c r="N212" s="5" t="s">
        <v>873</v>
      </c>
      <c r="O212" s="5"/>
      <c r="P212" s="5"/>
      <c r="Q212" s="5" t="s">
        <v>874</v>
      </c>
    </row>
    <row r="213" spans="1:17">
      <c r="A213" s="9">
        <v>46178</v>
      </c>
      <c r="B213" s="5" t="s">
        <v>81</v>
      </c>
      <c r="C213" s="5" t="s">
        <v>50</v>
      </c>
      <c r="D213" s="5" t="s">
        <v>3387</v>
      </c>
      <c r="E213" s="5" t="s">
        <v>2480</v>
      </c>
      <c r="F213" s="5">
        <f t="shared" si="13"/>
        <v>19</v>
      </c>
      <c r="G213" s="5" t="s">
        <v>19</v>
      </c>
      <c r="H213" s="5" t="s">
        <v>20</v>
      </c>
      <c r="I213" s="5" t="s">
        <v>21</v>
      </c>
      <c r="J213" s="5" t="s">
        <v>28</v>
      </c>
      <c r="K213" s="5">
        <f t="shared" si="14"/>
        <v>3</v>
      </c>
      <c r="L213" s="5">
        <f t="shared" si="15"/>
        <v>4</v>
      </c>
      <c r="M213" s="5" t="str">
        <f t="shared" si="12"/>
        <v/>
      </c>
      <c r="N213" s="5" t="s">
        <v>3529</v>
      </c>
      <c r="O213" s="5" t="s">
        <v>3530</v>
      </c>
      <c r="P213" s="5" t="s">
        <v>3531</v>
      </c>
      <c r="Q213" s="5" t="s">
        <v>3532</v>
      </c>
    </row>
    <row r="214" spans="1:17">
      <c r="A214" s="9">
        <v>46178</v>
      </c>
      <c r="B214" s="5" t="s">
        <v>15</v>
      </c>
      <c r="C214" s="5" t="s">
        <v>16</v>
      </c>
      <c r="D214" s="5" t="s">
        <v>663</v>
      </c>
      <c r="E214" s="5" t="s">
        <v>2481</v>
      </c>
      <c r="F214" s="5">
        <f t="shared" si="13"/>
        <v>26</v>
      </c>
      <c r="G214" s="5" t="s">
        <v>107</v>
      </c>
      <c r="H214" s="5" t="s">
        <v>45</v>
      </c>
      <c r="I214" s="5" t="s">
        <v>21</v>
      </c>
      <c r="J214" s="5" t="s">
        <v>21</v>
      </c>
      <c r="K214" s="5">
        <f t="shared" si="14"/>
        <v>3</v>
      </c>
      <c r="L214" s="5">
        <f t="shared" si="15"/>
        <v>3</v>
      </c>
      <c r="M214" s="5" t="str">
        <f t="shared" si="12"/>
        <v/>
      </c>
      <c r="N214" s="5" t="s">
        <v>881</v>
      </c>
      <c r="O214" s="5" t="s">
        <v>882</v>
      </c>
      <c r="P214" s="5" t="s">
        <v>883</v>
      </c>
      <c r="Q214" s="5"/>
    </row>
    <row r="215" spans="1:17">
      <c r="A215" s="9">
        <v>46178</v>
      </c>
      <c r="B215" s="5" t="s">
        <v>81</v>
      </c>
      <c r="C215" s="5" t="s">
        <v>82</v>
      </c>
      <c r="D215" s="5" t="s">
        <v>3394</v>
      </c>
      <c r="E215" s="5" t="s">
        <v>2482</v>
      </c>
      <c r="F215" s="5">
        <f t="shared" si="13"/>
        <v>17</v>
      </c>
      <c r="G215" s="5" t="s">
        <v>19</v>
      </c>
      <c r="H215" s="5" t="s">
        <v>20</v>
      </c>
      <c r="I215" s="5" t="s">
        <v>21</v>
      </c>
      <c r="J215" s="5" t="s">
        <v>21</v>
      </c>
      <c r="K215" s="5">
        <f t="shared" si="14"/>
        <v>3</v>
      </c>
      <c r="L215" s="5">
        <f t="shared" si="15"/>
        <v>3</v>
      </c>
      <c r="M215" s="5" t="str">
        <f t="shared" si="12"/>
        <v/>
      </c>
      <c r="N215" s="5" t="s">
        <v>885</v>
      </c>
      <c r="O215" s="5"/>
      <c r="P215" s="5" t="s">
        <v>2784</v>
      </c>
      <c r="Q215" s="5"/>
    </row>
    <row r="216" spans="1:17">
      <c r="A216" s="9">
        <v>46178</v>
      </c>
      <c r="B216" s="5" t="s">
        <v>15</v>
      </c>
      <c r="C216" s="5" t="s">
        <v>16</v>
      </c>
      <c r="D216" s="5" t="s">
        <v>17</v>
      </c>
      <c r="E216" s="5" t="s">
        <v>2483</v>
      </c>
      <c r="F216" s="5">
        <f t="shared" si="13"/>
        <v>21</v>
      </c>
      <c r="G216" s="5" t="s">
        <v>19</v>
      </c>
      <c r="H216" s="5" t="s">
        <v>20</v>
      </c>
      <c r="I216" s="5" t="s">
        <v>28</v>
      </c>
      <c r="J216" s="5" t="s">
        <v>28</v>
      </c>
      <c r="K216" s="5">
        <f t="shared" si="14"/>
        <v>4</v>
      </c>
      <c r="L216" s="5">
        <f t="shared" si="15"/>
        <v>4</v>
      </c>
      <c r="M216" s="5" t="str">
        <f t="shared" si="12"/>
        <v/>
      </c>
      <c r="N216" s="5" t="s">
        <v>3065</v>
      </c>
      <c r="O216" s="5"/>
      <c r="P216" s="5"/>
      <c r="Q216" s="5"/>
    </row>
    <row r="217" spans="1:17">
      <c r="A217" s="9">
        <v>46178</v>
      </c>
      <c r="B217" s="5" t="s">
        <v>15</v>
      </c>
      <c r="C217" s="5" t="s">
        <v>16</v>
      </c>
      <c r="D217" s="5" t="s">
        <v>17</v>
      </c>
      <c r="E217" s="5" t="s">
        <v>2484</v>
      </c>
      <c r="F217" s="5">
        <f t="shared" si="13"/>
        <v>24</v>
      </c>
      <c r="G217" s="5" t="s">
        <v>107</v>
      </c>
      <c r="H217" s="5" t="s">
        <v>20</v>
      </c>
      <c r="I217" s="5" t="s">
        <v>21</v>
      </c>
      <c r="J217" s="5" t="s">
        <v>21</v>
      </c>
      <c r="K217" s="5">
        <f t="shared" si="14"/>
        <v>3</v>
      </c>
      <c r="L217" s="5">
        <f t="shared" si="15"/>
        <v>3</v>
      </c>
      <c r="M217" s="5" t="str">
        <f t="shared" si="12"/>
        <v/>
      </c>
      <c r="N217" s="5" t="s">
        <v>3533</v>
      </c>
      <c r="O217" s="5" t="s">
        <v>3066</v>
      </c>
      <c r="P217" s="5" t="s">
        <v>3534</v>
      </c>
      <c r="Q217" s="5"/>
    </row>
    <row r="218" spans="1:17">
      <c r="A218" s="9">
        <v>46178</v>
      </c>
      <c r="B218" s="5" t="s">
        <v>25</v>
      </c>
      <c r="C218" s="5" t="s">
        <v>3380</v>
      </c>
      <c r="D218" s="5" t="s">
        <v>25</v>
      </c>
      <c r="E218" s="5" t="s">
        <v>3067</v>
      </c>
      <c r="F218" s="5">
        <f t="shared" si="13"/>
        <v>33</v>
      </c>
      <c r="G218" s="5" t="s">
        <v>19</v>
      </c>
      <c r="H218" s="5" t="s">
        <v>20</v>
      </c>
      <c r="I218" s="5" t="s">
        <v>21</v>
      </c>
      <c r="J218" s="5" t="s">
        <v>21</v>
      </c>
      <c r="K218" s="5">
        <f t="shared" si="14"/>
        <v>3</v>
      </c>
      <c r="L218" s="5">
        <f t="shared" si="15"/>
        <v>3</v>
      </c>
      <c r="M218" s="5" t="str">
        <f t="shared" si="12"/>
        <v/>
      </c>
      <c r="N218" s="5" t="s">
        <v>894</v>
      </c>
      <c r="O218" s="5" t="s">
        <v>895</v>
      </c>
      <c r="P218" s="5" t="s">
        <v>2785</v>
      </c>
      <c r="Q218" s="5"/>
    </row>
    <row r="219" spans="1:17">
      <c r="A219" s="9">
        <v>46178</v>
      </c>
      <c r="B219" s="5" t="s">
        <v>15</v>
      </c>
      <c r="C219" s="5" t="s">
        <v>16</v>
      </c>
      <c r="D219" s="4" t="s">
        <v>663</v>
      </c>
      <c r="E219" s="5" t="s">
        <v>2485</v>
      </c>
      <c r="F219" s="5">
        <f t="shared" si="13"/>
        <v>25</v>
      </c>
      <c r="G219" s="5" t="s">
        <v>107</v>
      </c>
      <c r="H219" s="5" t="s">
        <v>45</v>
      </c>
      <c r="I219" s="5" t="s">
        <v>21</v>
      </c>
      <c r="J219" s="5" t="s">
        <v>28</v>
      </c>
      <c r="K219" s="5">
        <f t="shared" si="14"/>
        <v>3</v>
      </c>
      <c r="L219" s="5">
        <f t="shared" si="15"/>
        <v>4</v>
      </c>
      <c r="M219" s="5" t="str">
        <f t="shared" si="12"/>
        <v/>
      </c>
      <c r="N219" s="5" t="s">
        <v>898</v>
      </c>
      <c r="O219" s="5" t="s">
        <v>899</v>
      </c>
      <c r="P219" s="5" t="s">
        <v>900</v>
      </c>
      <c r="Q219" s="5"/>
    </row>
    <row r="220" spans="1:17">
      <c r="A220" s="9">
        <v>46178</v>
      </c>
      <c r="B220" s="5" t="s">
        <v>81</v>
      </c>
      <c r="C220" s="5" t="s">
        <v>50</v>
      </c>
      <c r="D220" s="5" t="s">
        <v>3390</v>
      </c>
      <c r="E220" s="5" t="s">
        <v>2486</v>
      </c>
      <c r="F220" s="5">
        <f t="shared" si="13"/>
        <v>28</v>
      </c>
      <c r="G220" s="5" t="s">
        <v>19</v>
      </c>
      <c r="H220" s="5" t="s">
        <v>20</v>
      </c>
      <c r="I220" s="5" t="s">
        <v>21</v>
      </c>
      <c r="J220" s="5" t="s">
        <v>21</v>
      </c>
      <c r="K220" s="5">
        <f t="shared" si="14"/>
        <v>3</v>
      </c>
      <c r="L220" s="5">
        <f t="shared" si="15"/>
        <v>3</v>
      </c>
      <c r="M220" s="5" t="str">
        <f t="shared" si="12"/>
        <v/>
      </c>
      <c r="N220" s="5" t="s">
        <v>3535</v>
      </c>
      <c r="O220" s="5" t="s">
        <v>903</v>
      </c>
      <c r="P220" s="5" t="s">
        <v>904</v>
      </c>
      <c r="Q220" s="5"/>
    </row>
    <row r="221" spans="1:17">
      <c r="A221" s="9">
        <v>46178</v>
      </c>
      <c r="B221" s="5" t="s">
        <v>15</v>
      </c>
      <c r="C221" s="5" t="s">
        <v>33</v>
      </c>
      <c r="D221" s="5" t="s">
        <v>553</v>
      </c>
      <c r="E221" s="5" t="s">
        <v>2487</v>
      </c>
      <c r="F221" s="5">
        <f t="shared" si="13"/>
        <v>26</v>
      </c>
      <c r="G221" s="5" t="s">
        <v>107</v>
      </c>
      <c r="H221" s="5" t="s">
        <v>20</v>
      </c>
      <c r="I221" s="5" t="s">
        <v>28</v>
      </c>
      <c r="J221" s="5" t="s">
        <v>28</v>
      </c>
      <c r="K221" s="5">
        <f t="shared" si="14"/>
        <v>4</v>
      </c>
      <c r="L221" s="5">
        <f t="shared" si="15"/>
        <v>4</v>
      </c>
      <c r="M221" s="5" t="str">
        <f t="shared" si="12"/>
        <v/>
      </c>
      <c r="N221" s="5" t="s">
        <v>3536</v>
      </c>
      <c r="O221" s="5" t="s">
        <v>907</v>
      </c>
      <c r="P221" s="5" t="s">
        <v>908</v>
      </c>
      <c r="Q221" s="5" t="s">
        <v>909</v>
      </c>
    </row>
    <row r="222" spans="1:17">
      <c r="A222" s="9">
        <v>46178</v>
      </c>
      <c r="B222" s="5" t="s">
        <v>15</v>
      </c>
      <c r="C222" s="5" t="s">
        <v>16</v>
      </c>
      <c r="D222" s="5" t="s">
        <v>663</v>
      </c>
      <c r="E222" s="5" t="s">
        <v>3068</v>
      </c>
      <c r="F222" s="5">
        <f t="shared" si="13"/>
        <v>32</v>
      </c>
      <c r="G222" s="5" t="s">
        <v>107</v>
      </c>
      <c r="H222" s="5" t="s">
        <v>20</v>
      </c>
      <c r="I222" s="5" t="s">
        <v>28</v>
      </c>
      <c r="J222" s="5" t="s">
        <v>28</v>
      </c>
      <c r="K222" s="5">
        <f t="shared" si="14"/>
        <v>4</v>
      </c>
      <c r="L222" s="5">
        <f t="shared" si="15"/>
        <v>4</v>
      </c>
      <c r="M222" s="5" t="str">
        <f t="shared" si="12"/>
        <v/>
      </c>
      <c r="N222" s="5" t="s">
        <v>911</v>
      </c>
      <c r="O222" s="5" t="s">
        <v>912</v>
      </c>
      <c r="P222" s="5" t="s">
        <v>913</v>
      </c>
      <c r="Q222" s="5" t="s">
        <v>914</v>
      </c>
    </row>
    <row r="223" spans="1:17">
      <c r="A223" s="9">
        <v>46178</v>
      </c>
      <c r="B223" s="5" t="s">
        <v>81</v>
      </c>
      <c r="C223" s="5" t="s">
        <v>82</v>
      </c>
      <c r="D223" s="5" t="s">
        <v>83</v>
      </c>
      <c r="E223" s="5" t="s">
        <v>2488</v>
      </c>
      <c r="F223" s="5">
        <f t="shared" si="13"/>
        <v>23</v>
      </c>
      <c r="G223" s="5" t="s">
        <v>19</v>
      </c>
      <c r="H223" s="5" t="s">
        <v>20</v>
      </c>
      <c r="I223" s="5" t="s">
        <v>21</v>
      </c>
      <c r="J223" s="5" t="s">
        <v>21</v>
      </c>
      <c r="K223" s="5">
        <f t="shared" si="14"/>
        <v>3</v>
      </c>
      <c r="L223" s="5">
        <f t="shared" si="15"/>
        <v>3</v>
      </c>
      <c r="M223" s="5" t="str">
        <f t="shared" si="12"/>
        <v/>
      </c>
      <c r="N223" s="5" t="s">
        <v>3069</v>
      </c>
      <c r="O223" s="5" t="s">
        <v>917</v>
      </c>
      <c r="P223" s="5" t="s">
        <v>918</v>
      </c>
      <c r="Q223" s="5"/>
    </row>
    <row r="224" spans="1:17">
      <c r="A224" s="9">
        <v>46178</v>
      </c>
      <c r="B224" s="5" t="s">
        <v>81</v>
      </c>
      <c r="C224" s="5" t="s">
        <v>50</v>
      </c>
      <c r="D224" s="5" t="s">
        <v>3404</v>
      </c>
      <c r="E224" s="5" t="s">
        <v>2489</v>
      </c>
      <c r="F224" s="5">
        <f t="shared" si="13"/>
        <v>19</v>
      </c>
      <c r="G224" s="5" t="s">
        <v>19</v>
      </c>
      <c r="H224" s="5" t="s">
        <v>20</v>
      </c>
      <c r="I224" s="5" t="s">
        <v>21</v>
      </c>
      <c r="J224" s="5" t="s">
        <v>21</v>
      </c>
      <c r="K224" s="5">
        <f t="shared" si="14"/>
        <v>3</v>
      </c>
      <c r="L224" s="5">
        <f t="shared" si="15"/>
        <v>3</v>
      </c>
      <c r="M224" s="5" t="str">
        <f t="shared" si="12"/>
        <v/>
      </c>
      <c r="N224" s="5" t="s">
        <v>921</v>
      </c>
      <c r="O224" s="5" t="s">
        <v>922</v>
      </c>
      <c r="P224" s="5" t="s">
        <v>922</v>
      </c>
      <c r="Q224" s="5"/>
    </row>
    <row r="225" spans="1:17">
      <c r="A225" s="9">
        <v>46178</v>
      </c>
      <c r="B225" s="5" t="s">
        <v>81</v>
      </c>
      <c r="C225" s="5" t="s">
        <v>50</v>
      </c>
      <c r="D225" s="5" t="s">
        <v>3404</v>
      </c>
      <c r="E225" s="5" t="s">
        <v>3634</v>
      </c>
      <c r="F225" s="5">
        <f t="shared" si="13"/>
        <v>28</v>
      </c>
      <c r="G225" s="5" t="s">
        <v>19</v>
      </c>
      <c r="H225" s="5" t="s">
        <v>45</v>
      </c>
      <c r="I225" s="5" t="s">
        <v>28</v>
      </c>
      <c r="J225" s="5" t="s">
        <v>28</v>
      </c>
      <c r="K225" s="5">
        <f t="shared" si="14"/>
        <v>4</v>
      </c>
      <c r="L225" s="5">
        <f t="shared" si="15"/>
        <v>4</v>
      </c>
      <c r="M225" s="5" t="str">
        <f t="shared" si="12"/>
        <v/>
      </c>
      <c r="N225" s="5" t="s">
        <v>924</v>
      </c>
      <c r="O225" s="5" t="s">
        <v>925</v>
      </c>
      <c r="P225" s="5" t="s">
        <v>926</v>
      </c>
      <c r="Q225" s="5" t="s">
        <v>927</v>
      </c>
    </row>
    <row r="226" spans="1:17">
      <c r="A226" s="9">
        <v>46178</v>
      </c>
      <c r="B226" s="5" t="s">
        <v>150</v>
      </c>
      <c r="C226" s="5" t="s">
        <v>3389</v>
      </c>
      <c r="D226" s="5" t="s">
        <v>150</v>
      </c>
      <c r="E226" s="5" t="s">
        <v>2490</v>
      </c>
      <c r="F226" s="5">
        <f t="shared" si="13"/>
        <v>32</v>
      </c>
      <c r="G226" s="5" t="s">
        <v>19</v>
      </c>
      <c r="H226" s="5" t="s">
        <v>45</v>
      </c>
      <c r="I226" s="5" t="s">
        <v>21</v>
      </c>
      <c r="J226" s="5" t="s">
        <v>21</v>
      </c>
      <c r="K226" s="5">
        <f t="shared" si="14"/>
        <v>3</v>
      </c>
      <c r="L226" s="5">
        <f t="shared" si="15"/>
        <v>3</v>
      </c>
      <c r="M226" s="5" t="str">
        <f t="shared" si="12"/>
        <v/>
      </c>
      <c r="N226" s="5" t="s">
        <v>929</v>
      </c>
      <c r="O226" s="5"/>
      <c r="P226" s="5"/>
      <c r="Q226" s="5"/>
    </row>
    <row r="227" spans="1:17">
      <c r="A227" s="9">
        <v>46178</v>
      </c>
      <c r="B227" s="5" t="s">
        <v>15</v>
      </c>
      <c r="C227" s="5" t="s">
        <v>16</v>
      </c>
      <c r="D227" s="5" t="s">
        <v>105</v>
      </c>
      <c r="E227" s="5" t="s">
        <v>2491</v>
      </c>
      <c r="F227" s="5">
        <f t="shared" si="13"/>
        <v>29</v>
      </c>
      <c r="G227" s="5" t="s">
        <v>19</v>
      </c>
      <c r="H227" s="5" t="s">
        <v>20</v>
      </c>
      <c r="I227" s="5" t="s">
        <v>21</v>
      </c>
      <c r="J227" s="5" t="s">
        <v>28</v>
      </c>
      <c r="K227" s="5">
        <f t="shared" si="14"/>
        <v>3</v>
      </c>
      <c r="L227" s="5">
        <f t="shared" si="15"/>
        <v>4</v>
      </c>
      <c r="M227" s="5" t="str">
        <f t="shared" si="12"/>
        <v/>
      </c>
      <c r="N227" s="5" t="s">
        <v>3070</v>
      </c>
      <c r="O227" s="5" t="s">
        <v>1328</v>
      </c>
      <c r="P227" s="5" t="s">
        <v>3537</v>
      </c>
      <c r="Q227" s="5"/>
    </row>
    <row r="228" spans="1:17">
      <c r="A228" s="9">
        <v>46178</v>
      </c>
      <c r="B228" s="5" t="s">
        <v>15</v>
      </c>
      <c r="C228" s="5" t="s">
        <v>16</v>
      </c>
      <c r="D228" s="5" t="s">
        <v>105</v>
      </c>
      <c r="E228" s="5" t="s">
        <v>2492</v>
      </c>
      <c r="F228" s="5">
        <f t="shared" si="13"/>
        <v>25</v>
      </c>
      <c r="G228" s="5" t="s">
        <v>107</v>
      </c>
      <c r="H228" s="5" t="s">
        <v>20</v>
      </c>
      <c r="I228" s="5" t="s">
        <v>21</v>
      </c>
      <c r="J228" s="5" t="s">
        <v>21</v>
      </c>
      <c r="K228" s="5">
        <f t="shared" si="14"/>
        <v>3</v>
      </c>
      <c r="L228" s="5">
        <f t="shared" si="15"/>
        <v>3</v>
      </c>
      <c r="M228" s="5" t="str">
        <f t="shared" si="12"/>
        <v/>
      </c>
      <c r="N228" s="5" t="s">
        <v>935</v>
      </c>
      <c r="O228" s="5" t="s">
        <v>724</v>
      </c>
      <c r="P228" s="5" t="s">
        <v>3538</v>
      </c>
      <c r="Q228" s="5"/>
    </row>
    <row r="229" spans="1:17">
      <c r="A229" s="9">
        <v>46178</v>
      </c>
      <c r="B229" s="5" t="s">
        <v>150</v>
      </c>
      <c r="C229" s="5" t="s">
        <v>3389</v>
      </c>
      <c r="D229" s="5" t="s">
        <v>150</v>
      </c>
      <c r="E229" s="5" t="s">
        <v>2493</v>
      </c>
      <c r="F229" s="5">
        <f t="shared" si="13"/>
        <v>37</v>
      </c>
      <c r="G229" s="5" t="s">
        <v>19</v>
      </c>
      <c r="H229" s="5" t="s">
        <v>45</v>
      </c>
      <c r="I229" s="5" t="s">
        <v>28</v>
      </c>
      <c r="J229" s="5" t="s">
        <v>28</v>
      </c>
      <c r="K229" s="5">
        <f t="shared" si="14"/>
        <v>4</v>
      </c>
      <c r="L229" s="5">
        <f t="shared" si="15"/>
        <v>4</v>
      </c>
      <c r="M229" s="5" t="str">
        <f t="shared" si="12"/>
        <v/>
      </c>
      <c r="N229" s="5" t="s">
        <v>3071</v>
      </c>
      <c r="O229" s="5" t="s">
        <v>3072</v>
      </c>
      <c r="P229" s="5" t="s">
        <v>3073</v>
      </c>
      <c r="Q229" s="5" t="s">
        <v>941</v>
      </c>
    </row>
    <row r="230" spans="1:17">
      <c r="A230" s="9">
        <v>46178</v>
      </c>
      <c r="B230" s="5" t="s">
        <v>81</v>
      </c>
      <c r="C230" s="5" t="s">
        <v>50</v>
      </c>
      <c r="D230" s="5" t="s">
        <v>3387</v>
      </c>
      <c r="E230" s="5" t="s">
        <v>2494</v>
      </c>
      <c r="F230" s="5">
        <f t="shared" si="13"/>
        <v>25</v>
      </c>
      <c r="G230" s="5" t="s">
        <v>19</v>
      </c>
      <c r="H230" s="5" t="s">
        <v>20</v>
      </c>
      <c r="I230" s="5" t="s">
        <v>28</v>
      </c>
      <c r="J230" s="5" t="s">
        <v>28</v>
      </c>
      <c r="K230" s="5">
        <f t="shared" si="14"/>
        <v>4</v>
      </c>
      <c r="L230" s="5">
        <f t="shared" si="15"/>
        <v>4</v>
      </c>
      <c r="M230" s="5" t="str">
        <f t="shared" si="12"/>
        <v/>
      </c>
      <c r="N230" s="5" t="s">
        <v>3074</v>
      </c>
      <c r="O230" s="5" t="s">
        <v>3539</v>
      </c>
      <c r="P230" s="5" t="s">
        <v>3540</v>
      </c>
      <c r="Q230" s="5"/>
    </row>
    <row r="231" spans="1:17">
      <c r="A231" s="9">
        <v>46178</v>
      </c>
      <c r="B231" s="5" t="s">
        <v>81</v>
      </c>
      <c r="C231" s="5" t="s">
        <v>82</v>
      </c>
      <c r="D231" s="5" t="s">
        <v>3391</v>
      </c>
      <c r="E231" s="5" t="s">
        <v>2495</v>
      </c>
      <c r="F231" s="5">
        <f t="shared" si="13"/>
        <v>19</v>
      </c>
      <c r="G231" s="5" t="s">
        <v>19</v>
      </c>
      <c r="H231" s="5" t="s">
        <v>20</v>
      </c>
      <c r="I231" s="5" t="s">
        <v>21</v>
      </c>
      <c r="J231" s="5" t="s">
        <v>21</v>
      </c>
      <c r="K231" s="5">
        <f t="shared" si="14"/>
        <v>3</v>
      </c>
      <c r="L231" s="5">
        <f t="shared" si="15"/>
        <v>3</v>
      </c>
      <c r="M231" s="5" t="str">
        <f t="shared" si="12"/>
        <v/>
      </c>
      <c r="N231" s="5" t="s">
        <v>280</v>
      </c>
      <c r="O231" s="5" t="s">
        <v>947</v>
      </c>
      <c r="P231" s="5" t="s">
        <v>948</v>
      </c>
      <c r="Q231" s="5"/>
    </row>
    <row r="232" spans="1:17">
      <c r="A232" s="9">
        <v>46178</v>
      </c>
      <c r="B232" s="5" t="s">
        <v>25</v>
      </c>
      <c r="C232" s="5" t="s">
        <v>3380</v>
      </c>
      <c r="D232" s="5" t="s">
        <v>25</v>
      </c>
      <c r="E232" s="5" t="s">
        <v>2496</v>
      </c>
      <c r="F232" s="5">
        <f t="shared" si="13"/>
        <v>37</v>
      </c>
      <c r="G232" s="5" t="s">
        <v>19</v>
      </c>
      <c r="H232" s="5" t="s">
        <v>20</v>
      </c>
      <c r="I232" s="5" t="s">
        <v>21</v>
      </c>
      <c r="J232" s="5" t="s">
        <v>21</v>
      </c>
      <c r="K232" s="5">
        <f t="shared" si="14"/>
        <v>3</v>
      </c>
      <c r="L232" s="5">
        <f t="shared" si="15"/>
        <v>3</v>
      </c>
      <c r="M232" s="5" t="str">
        <f t="shared" si="12"/>
        <v/>
      </c>
      <c r="N232" s="5" t="s">
        <v>3075</v>
      </c>
      <c r="O232" s="5"/>
      <c r="P232" s="5"/>
      <c r="Q232" s="5"/>
    </row>
    <row r="233" spans="1:17">
      <c r="A233" s="9">
        <v>46178</v>
      </c>
      <c r="B233" s="5" t="s">
        <v>15</v>
      </c>
      <c r="C233" s="5" t="s">
        <v>16</v>
      </c>
      <c r="D233" s="5" t="s">
        <v>663</v>
      </c>
      <c r="E233" s="5" t="s">
        <v>2497</v>
      </c>
      <c r="F233" s="5">
        <f t="shared" si="13"/>
        <v>19</v>
      </c>
      <c r="G233" s="5" t="s">
        <v>107</v>
      </c>
      <c r="H233" s="5" t="s">
        <v>20</v>
      </c>
      <c r="I233" s="5" t="s">
        <v>21</v>
      </c>
      <c r="J233" s="5" t="s">
        <v>21</v>
      </c>
      <c r="K233" s="5">
        <f t="shared" si="14"/>
        <v>3</v>
      </c>
      <c r="L233" s="5">
        <f t="shared" si="15"/>
        <v>3</v>
      </c>
      <c r="M233" s="5" t="str">
        <f t="shared" si="12"/>
        <v/>
      </c>
      <c r="N233" s="5" t="s">
        <v>3541</v>
      </c>
      <c r="O233" s="5" t="s">
        <v>953</v>
      </c>
      <c r="P233" s="5" t="s">
        <v>3542</v>
      </c>
      <c r="Q233" s="5" t="s">
        <v>3543</v>
      </c>
    </row>
    <row r="234" spans="1:17">
      <c r="A234" s="9">
        <v>46178</v>
      </c>
      <c r="B234" s="5" t="s">
        <v>25</v>
      </c>
      <c r="C234" s="5" t="s">
        <v>3380</v>
      </c>
      <c r="D234" s="5" t="s">
        <v>25</v>
      </c>
      <c r="E234" s="5" t="s">
        <v>3544</v>
      </c>
      <c r="F234" s="5">
        <f t="shared" si="13"/>
        <v>88</v>
      </c>
      <c r="G234" s="5" t="s">
        <v>19</v>
      </c>
      <c r="H234" s="5" t="s">
        <v>45</v>
      </c>
      <c r="I234" s="5" t="s">
        <v>28</v>
      </c>
      <c r="J234" s="5" t="s">
        <v>28</v>
      </c>
      <c r="K234" s="5">
        <f t="shared" si="14"/>
        <v>4</v>
      </c>
      <c r="L234" s="5">
        <f t="shared" si="15"/>
        <v>4</v>
      </c>
      <c r="M234" s="5" t="str">
        <f t="shared" si="12"/>
        <v/>
      </c>
      <c r="N234" s="5" t="s">
        <v>957</v>
      </c>
      <c r="O234" s="5" t="s">
        <v>958</v>
      </c>
      <c r="P234" s="5" t="s">
        <v>959</v>
      </c>
      <c r="Q234" s="5"/>
    </row>
    <row r="235" spans="1:17">
      <c r="A235" s="9">
        <v>46178</v>
      </c>
      <c r="B235" s="5" t="s">
        <v>960</v>
      </c>
      <c r="C235" s="5" t="s">
        <v>50</v>
      </c>
      <c r="D235" s="5" t="s">
        <v>3404</v>
      </c>
      <c r="E235" s="5" t="s">
        <v>2498</v>
      </c>
      <c r="F235" s="5">
        <f t="shared" si="13"/>
        <v>22</v>
      </c>
      <c r="G235" s="5" t="s">
        <v>19</v>
      </c>
      <c r="H235" s="5" t="s">
        <v>20</v>
      </c>
      <c r="I235" s="5" t="s">
        <v>21</v>
      </c>
      <c r="J235" s="5" t="s">
        <v>28</v>
      </c>
      <c r="K235" s="5">
        <f t="shared" si="14"/>
        <v>3</v>
      </c>
      <c r="L235" s="5">
        <f t="shared" si="15"/>
        <v>4</v>
      </c>
      <c r="M235" s="5" t="str">
        <f t="shared" si="12"/>
        <v/>
      </c>
      <c r="N235" s="5" t="s">
        <v>962</v>
      </c>
      <c r="O235" s="5" t="s">
        <v>963</v>
      </c>
      <c r="P235" s="5" t="s">
        <v>964</v>
      </c>
      <c r="Q235" s="5" t="s">
        <v>123</v>
      </c>
    </row>
    <row r="236" spans="1:17">
      <c r="A236" s="9">
        <v>46178</v>
      </c>
      <c r="B236" s="5" t="s">
        <v>25</v>
      </c>
      <c r="C236" s="5" t="s">
        <v>3380</v>
      </c>
      <c r="D236" s="5" t="s">
        <v>25</v>
      </c>
      <c r="E236" s="5" t="s">
        <v>3545</v>
      </c>
      <c r="F236" s="5">
        <f t="shared" si="13"/>
        <v>40</v>
      </c>
      <c r="G236" s="5" t="s">
        <v>19</v>
      </c>
      <c r="H236" s="5" t="s">
        <v>20</v>
      </c>
      <c r="I236" s="5" t="s">
        <v>21</v>
      </c>
      <c r="J236" s="5" t="s">
        <v>28</v>
      </c>
      <c r="K236" s="5">
        <f t="shared" si="14"/>
        <v>3</v>
      </c>
      <c r="L236" s="5">
        <f t="shared" si="15"/>
        <v>4</v>
      </c>
      <c r="M236" s="5" t="str">
        <f t="shared" si="12"/>
        <v/>
      </c>
      <c r="N236" s="5" t="s">
        <v>3076</v>
      </c>
      <c r="O236" s="5" t="s">
        <v>3077</v>
      </c>
      <c r="P236" s="5"/>
      <c r="Q236" s="5"/>
    </row>
    <row r="237" spans="1:17">
      <c r="A237" s="9">
        <v>46178</v>
      </c>
      <c r="B237" s="5" t="s">
        <v>25</v>
      </c>
      <c r="C237" s="5" t="s">
        <v>3380</v>
      </c>
      <c r="D237" s="5" t="s">
        <v>25</v>
      </c>
      <c r="E237" s="5" t="s">
        <v>2499</v>
      </c>
      <c r="F237" s="5">
        <f t="shared" si="13"/>
        <v>27</v>
      </c>
      <c r="G237" s="5" t="s">
        <v>19</v>
      </c>
      <c r="H237" s="5" t="s">
        <v>45</v>
      </c>
      <c r="I237" s="5" t="s">
        <v>21</v>
      </c>
      <c r="J237" s="5" t="s">
        <v>28</v>
      </c>
      <c r="K237" s="5">
        <f t="shared" si="14"/>
        <v>3</v>
      </c>
      <c r="L237" s="5">
        <f t="shared" si="15"/>
        <v>4</v>
      </c>
      <c r="M237" s="5" t="str">
        <f t="shared" si="12"/>
        <v/>
      </c>
      <c r="N237" s="5" t="s">
        <v>969</v>
      </c>
      <c r="O237" s="5" t="s">
        <v>55</v>
      </c>
      <c r="P237" s="5"/>
      <c r="Q237" s="5"/>
    </row>
    <row r="238" spans="1:17">
      <c r="A238" s="9">
        <v>46178</v>
      </c>
      <c r="B238" s="5" t="s">
        <v>150</v>
      </c>
      <c r="C238" s="5" t="s">
        <v>3389</v>
      </c>
      <c r="D238" s="5" t="s">
        <v>150</v>
      </c>
      <c r="E238" s="5" t="s">
        <v>3078</v>
      </c>
      <c r="F238" s="5">
        <f t="shared" si="13"/>
        <v>47</v>
      </c>
      <c r="G238" s="5" t="s">
        <v>19</v>
      </c>
      <c r="H238" s="5" t="s">
        <v>45</v>
      </c>
      <c r="I238" s="5" t="s">
        <v>21</v>
      </c>
      <c r="J238" s="5" t="s">
        <v>21</v>
      </c>
      <c r="K238" s="5">
        <f t="shared" si="14"/>
        <v>3</v>
      </c>
      <c r="L238" s="5">
        <f t="shared" si="15"/>
        <v>3</v>
      </c>
      <c r="M238" s="5" t="str">
        <f t="shared" si="12"/>
        <v/>
      </c>
      <c r="N238" s="5" t="s">
        <v>3079</v>
      </c>
      <c r="O238" s="5" t="s">
        <v>3080</v>
      </c>
      <c r="P238" s="5" t="s">
        <v>3081</v>
      </c>
      <c r="Q238" s="5"/>
    </row>
    <row r="239" spans="1:17">
      <c r="A239" s="9">
        <v>46178</v>
      </c>
      <c r="B239" s="5" t="s">
        <v>150</v>
      </c>
      <c r="C239" s="5" t="s">
        <v>3389</v>
      </c>
      <c r="D239" s="5" t="s">
        <v>150</v>
      </c>
      <c r="E239" s="5" t="s">
        <v>2500</v>
      </c>
      <c r="F239" s="5">
        <f t="shared" si="13"/>
        <v>40</v>
      </c>
      <c r="G239" s="5" t="s">
        <v>19</v>
      </c>
      <c r="H239" s="5" t="s">
        <v>45</v>
      </c>
      <c r="I239" s="5" t="s">
        <v>28</v>
      </c>
      <c r="J239" s="5" t="s">
        <v>28</v>
      </c>
      <c r="K239" s="5">
        <f t="shared" si="14"/>
        <v>4</v>
      </c>
      <c r="L239" s="5">
        <f t="shared" si="15"/>
        <v>4</v>
      </c>
      <c r="M239" s="5" t="str">
        <f t="shared" si="12"/>
        <v/>
      </c>
      <c r="N239" s="5" t="s">
        <v>976</v>
      </c>
      <c r="O239" s="5" t="s">
        <v>3082</v>
      </c>
      <c r="P239" s="5"/>
      <c r="Q239" s="5"/>
    </row>
    <row r="240" spans="1:17">
      <c r="A240" s="9">
        <v>46178</v>
      </c>
      <c r="B240" s="5" t="s">
        <v>3405</v>
      </c>
      <c r="C240" s="5" t="s">
        <v>3406</v>
      </c>
      <c r="D240" s="5" t="s">
        <v>3405</v>
      </c>
      <c r="E240" s="5" t="s">
        <v>2501</v>
      </c>
      <c r="F240" s="5">
        <f t="shared" si="13"/>
        <v>22</v>
      </c>
      <c r="G240" s="5" t="s">
        <v>981</v>
      </c>
      <c r="H240" s="5" t="s">
        <v>20</v>
      </c>
      <c r="I240" s="5" t="s">
        <v>21</v>
      </c>
      <c r="J240" s="5" t="s">
        <v>21</v>
      </c>
      <c r="K240" s="5">
        <f t="shared" si="14"/>
        <v>3</v>
      </c>
      <c r="L240" s="5">
        <f t="shared" si="15"/>
        <v>3</v>
      </c>
      <c r="M240" s="5" t="str">
        <f t="shared" si="12"/>
        <v/>
      </c>
      <c r="N240" s="5" t="s">
        <v>982</v>
      </c>
      <c r="O240" s="5" t="s">
        <v>3083</v>
      </c>
      <c r="P240" s="5" t="s">
        <v>984</v>
      </c>
      <c r="Q240" s="5" t="s">
        <v>3084</v>
      </c>
    </row>
    <row r="241" spans="1:17">
      <c r="A241" s="9">
        <v>46178</v>
      </c>
      <c r="B241" s="5" t="s">
        <v>81</v>
      </c>
      <c r="C241" s="5" t="s">
        <v>50</v>
      </c>
      <c r="D241" s="5" t="s">
        <v>3404</v>
      </c>
      <c r="E241" s="5" t="s">
        <v>2502</v>
      </c>
      <c r="F241" s="5">
        <f t="shared" si="13"/>
        <v>23</v>
      </c>
      <c r="G241" s="5" t="s">
        <v>19</v>
      </c>
      <c r="H241" s="5" t="s">
        <v>45</v>
      </c>
      <c r="I241" s="5" t="s">
        <v>28</v>
      </c>
      <c r="J241" s="5" t="s">
        <v>28</v>
      </c>
      <c r="K241" s="5">
        <f t="shared" si="14"/>
        <v>4</v>
      </c>
      <c r="L241" s="5">
        <f t="shared" si="15"/>
        <v>4</v>
      </c>
      <c r="M241" s="5" t="str">
        <f t="shared" si="12"/>
        <v/>
      </c>
      <c r="N241" s="5" t="s">
        <v>3407</v>
      </c>
      <c r="O241" s="5" t="s">
        <v>988</v>
      </c>
      <c r="P241" s="5" t="s">
        <v>3085</v>
      </c>
      <c r="Q241" s="5" t="s">
        <v>3086</v>
      </c>
    </row>
    <row r="242" spans="1:17">
      <c r="A242" s="9">
        <v>46178</v>
      </c>
      <c r="B242" s="5" t="s">
        <v>25</v>
      </c>
      <c r="C242" s="5" t="s">
        <v>3380</v>
      </c>
      <c r="D242" s="5" t="s">
        <v>25</v>
      </c>
      <c r="E242" s="5" t="s">
        <v>2503</v>
      </c>
      <c r="F242" s="5">
        <f t="shared" si="13"/>
        <v>42</v>
      </c>
      <c r="G242" s="5" t="s">
        <v>19</v>
      </c>
      <c r="H242" s="5" t="s">
        <v>20</v>
      </c>
      <c r="I242" s="5" t="s">
        <v>28</v>
      </c>
      <c r="J242" s="5" t="s">
        <v>28</v>
      </c>
      <c r="K242" s="5">
        <f t="shared" si="14"/>
        <v>4</v>
      </c>
      <c r="L242" s="5">
        <f t="shared" si="15"/>
        <v>4</v>
      </c>
      <c r="M242" s="5" t="str">
        <f t="shared" si="12"/>
        <v/>
      </c>
      <c r="N242" s="5" t="s">
        <v>992</v>
      </c>
      <c r="O242" s="5"/>
      <c r="P242" s="5"/>
      <c r="Q242" s="5"/>
    </row>
    <row r="243" spans="1:17">
      <c r="A243" s="9">
        <v>46178</v>
      </c>
      <c r="B243" s="5" t="s">
        <v>81</v>
      </c>
      <c r="C243" s="5" t="s">
        <v>50</v>
      </c>
      <c r="D243" s="5" t="s">
        <v>3404</v>
      </c>
      <c r="E243" s="5" t="s">
        <v>2504</v>
      </c>
      <c r="F243" s="5">
        <f t="shared" si="13"/>
        <v>22</v>
      </c>
      <c r="G243" s="5" t="s">
        <v>19</v>
      </c>
      <c r="H243" s="5" t="s">
        <v>20</v>
      </c>
      <c r="I243" s="5" t="s">
        <v>28</v>
      </c>
      <c r="J243" s="5" t="s">
        <v>28</v>
      </c>
      <c r="K243" s="5">
        <f t="shared" si="14"/>
        <v>4</v>
      </c>
      <c r="L243" s="5">
        <f t="shared" si="15"/>
        <v>4</v>
      </c>
      <c r="M243" s="5" t="str">
        <f t="shared" si="12"/>
        <v/>
      </c>
      <c r="N243" s="5" t="s">
        <v>3087</v>
      </c>
      <c r="O243" s="5" t="s">
        <v>3088</v>
      </c>
      <c r="P243" s="5" t="s">
        <v>2786</v>
      </c>
      <c r="Q243" s="5"/>
    </row>
    <row r="244" spans="1:17">
      <c r="A244" s="9">
        <v>46178</v>
      </c>
      <c r="B244" s="5" t="s">
        <v>150</v>
      </c>
      <c r="C244" s="5" t="s">
        <v>3389</v>
      </c>
      <c r="D244" s="5" t="s">
        <v>150</v>
      </c>
      <c r="E244" s="5" t="s">
        <v>3089</v>
      </c>
      <c r="F244" s="5">
        <f t="shared" si="13"/>
        <v>42</v>
      </c>
      <c r="G244" s="5" t="s">
        <v>19</v>
      </c>
      <c r="H244" s="5" t="s">
        <v>20</v>
      </c>
      <c r="I244" s="5" t="s">
        <v>21</v>
      </c>
      <c r="J244" s="5" t="s">
        <v>21</v>
      </c>
      <c r="K244" s="5">
        <f t="shared" si="14"/>
        <v>3</v>
      </c>
      <c r="L244" s="5">
        <f t="shared" si="15"/>
        <v>3</v>
      </c>
      <c r="M244" s="5" t="str">
        <f t="shared" si="12"/>
        <v/>
      </c>
      <c r="N244" s="5" t="s">
        <v>998</v>
      </c>
      <c r="O244" s="5" t="s">
        <v>999</v>
      </c>
      <c r="P244" s="5" t="s">
        <v>3090</v>
      </c>
      <c r="Q244" s="5" t="s">
        <v>1001</v>
      </c>
    </row>
    <row r="245" spans="1:17">
      <c r="A245" s="9">
        <v>46178</v>
      </c>
      <c r="B245" s="5" t="s">
        <v>81</v>
      </c>
      <c r="C245" s="5" t="s">
        <v>50</v>
      </c>
      <c r="D245" s="5" t="s">
        <v>3404</v>
      </c>
      <c r="E245" s="5" t="s">
        <v>2505</v>
      </c>
      <c r="F245" s="5">
        <f t="shared" si="13"/>
        <v>27</v>
      </c>
      <c r="G245" s="5" t="s">
        <v>19</v>
      </c>
      <c r="H245" s="5" t="s">
        <v>20</v>
      </c>
      <c r="I245" s="5" t="s">
        <v>186</v>
      </c>
      <c r="J245" s="5" t="s">
        <v>186</v>
      </c>
      <c r="K245" s="5">
        <f t="shared" si="14"/>
        <v>2</v>
      </c>
      <c r="L245" s="5">
        <f t="shared" si="15"/>
        <v>2</v>
      </c>
      <c r="M245" s="5" t="str">
        <f t="shared" si="12"/>
        <v>YES</v>
      </c>
      <c r="N245" s="5" t="s">
        <v>1003</v>
      </c>
      <c r="O245" s="5" t="s">
        <v>3091</v>
      </c>
      <c r="P245" s="5" t="s">
        <v>3092</v>
      </c>
      <c r="Q245" s="5"/>
    </row>
    <row r="246" spans="1:17">
      <c r="A246" s="9">
        <v>46178</v>
      </c>
      <c r="B246" s="5" t="s">
        <v>15</v>
      </c>
      <c r="C246" s="5" t="s">
        <v>16</v>
      </c>
      <c r="D246" s="5" t="s">
        <v>663</v>
      </c>
      <c r="E246" s="5" t="s">
        <v>3093</v>
      </c>
      <c r="F246" s="5">
        <f t="shared" si="13"/>
        <v>32</v>
      </c>
      <c r="G246" s="5" t="s">
        <v>107</v>
      </c>
      <c r="H246" s="5" t="s">
        <v>20</v>
      </c>
      <c r="I246" s="5" t="s">
        <v>21</v>
      </c>
      <c r="J246" s="5" t="s">
        <v>28</v>
      </c>
      <c r="K246" s="5">
        <f t="shared" si="14"/>
        <v>3</v>
      </c>
      <c r="L246" s="5">
        <f t="shared" si="15"/>
        <v>4</v>
      </c>
      <c r="M246" s="5" t="str">
        <f t="shared" si="12"/>
        <v/>
      </c>
      <c r="N246" s="5" t="s">
        <v>3094</v>
      </c>
      <c r="O246" s="5" t="s">
        <v>1008</v>
      </c>
      <c r="P246" s="5" t="s">
        <v>1009</v>
      </c>
      <c r="Q246" s="5"/>
    </row>
    <row r="247" spans="1:17">
      <c r="A247" s="9">
        <v>46178</v>
      </c>
      <c r="B247" s="5" t="s">
        <v>960</v>
      </c>
      <c r="C247" s="5" t="s">
        <v>50</v>
      </c>
      <c r="D247" s="5" t="s">
        <v>3404</v>
      </c>
      <c r="E247" s="5" t="s">
        <v>2506</v>
      </c>
      <c r="F247" s="5">
        <f t="shared" si="13"/>
        <v>27</v>
      </c>
      <c r="G247" s="5" t="s">
        <v>19</v>
      </c>
      <c r="H247" s="5" t="s">
        <v>20</v>
      </c>
      <c r="I247" s="5" t="s">
        <v>21</v>
      </c>
      <c r="J247" s="5" t="s">
        <v>21</v>
      </c>
      <c r="K247" s="5">
        <f t="shared" si="14"/>
        <v>3</v>
      </c>
      <c r="L247" s="5">
        <f t="shared" si="15"/>
        <v>3</v>
      </c>
      <c r="M247" s="5" t="str">
        <f t="shared" si="12"/>
        <v/>
      </c>
      <c r="N247" s="5" t="s">
        <v>1011</v>
      </c>
      <c r="O247" s="5" t="s">
        <v>1012</v>
      </c>
      <c r="P247" s="5" t="s">
        <v>1013</v>
      </c>
      <c r="Q247" s="5"/>
    </row>
    <row r="248" spans="1:17">
      <c r="A248" s="9">
        <v>46178</v>
      </c>
      <c r="B248" s="5" t="s">
        <v>81</v>
      </c>
      <c r="C248" s="5" t="s">
        <v>50</v>
      </c>
      <c r="D248" s="5" t="s">
        <v>3404</v>
      </c>
      <c r="E248" s="5" t="s">
        <v>2504</v>
      </c>
      <c r="F248" s="5">
        <f t="shared" si="13"/>
        <v>22</v>
      </c>
      <c r="G248" s="5" t="s">
        <v>19</v>
      </c>
      <c r="H248" s="5" t="s">
        <v>20</v>
      </c>
      <c r="I248" s="5" t="s">
        <v>28</v>
      </c>
      <c r="J248" s="5" t="s">
        <v>28</v>
      </c>
      <c r="K248" s="5">
        <f t="shared" si="14"/>
        <v>4</v>
      </c>
      <c r="L248" s="5">
        <f t="shared" si="15"/>
        <v>4</v>
      </c>
      <c r="M248" s="5" t="str">
        <f t="shared" si="12"/>
        <v/>
      </c>
      <c r="N248" s="5" t="s">
        <v>1014</v>
      </c>
      <c r="O248" s="5" t="s">
        <v>1015</v>
      </c>
      <c r="P248" s="5" t="s">
        <v>2787</v>
      </c>
      <c r="Q248" s="5" t="s">
        <v>1017</v>
      </c>
    </row>
    <row r="249" spans="1:17">
      <c r="A249" s="9">
        <v>46178</v>
      </c>
      <c r="B249" s="5" t="s">
        <v>81</v>
      </c>
      <c r="C249" s="5" t="s">
        <v>50</v>
      </c>
      <c r="D249" s="5" t="s">
        <v>3381</v>
      </c>
      <c r="E249" s="5" t="s">
        <v>2507</v>
      </c>
      <c r="F249" s="5">
        <f t="shared" si="13"/>
        <v>33</v>
      </c>
      <c r="G249" s="5" t="s">
        <v>19</v>
      </c>
      <c r="H249" s="5" t="s">
        <v>45</v>
      </c>
      <c r="I249" s="5" t="s">
        <v>21</v>
      </c>
      <c r="J249" s="5" t="s">
        <v>21</v>
      </c>
      <c r="K249" s="5">
        <f t="shared" si="14"/>
        <v>3</v>
      </c>
      <c r="L249" s="5">
        <f t="shared" si="15"/>
        <v>3</v>
      </c>
      <c r="M249" s="5" t="str">
        <f t="shared" si="12"/>
        <v/>
      </c>
      <c r="N249" s="5" t="s">
        <v>3095</v>
      </c>
      <c r="O249" s="5" t="s">
        <v>2759</v>
      </c>
      <c r="P249" s="5" t="s">
        <v>1021</v>
      </c>
      <c r="Q249" s="5"/>
    </row>
    <row r="250" spans="1:17">
      <c r="A250" s="9">
        <v>46178</v>
      </c>
      <c r="B250" s="5" t="s">
        <v>3405</v>
      </c>
      <c r="C250" s="5" t="s">
        <v>3406</v>
      </c>
      <c r="D250" s="5" t="s">
        <v>3405</v>
      </c>
      <c r="E250" s="5" t="s">
        <v>2501</v>
      </c>
      <c r="F250" s="5">
        <f t="shared" si="13"/>
        <v>22</v>
      </c>
      <c r="G250" s="5" t="s">
        <v>981</v>
      </c>
      <c r="H250" s="5" t="s">
        <v>20</v>
      </c>
      <c r="I250" s="5" t="s">
        <v>21</v>
      </c>
      <c r="J250" s="5" t="s">
        <v>21</v>
      </c>
      <c r="K250" s="5">
        <f t="shared" si="14"/>
        <v>3</v>
      </c>
      <c r="L250" s="5">
        <f t="shared" si="15"/>
        <v>3</v>
      </c>
      <c r="M250" s="5" t="str">
        <f t="shared" si="12"/>
        <v/>
      </c>
      <c r="N250" s="5" t="s">
        <v>1022</v>
      </c>
      <c r="O250" s="5" t="s">
        <v>1023</v>
      </c>
      <c r="P250" s="5" t="s">
        <v>1024</v>
      </c>
      <c r="Q250" s="5" t="s">
        <v>1025</v>
      </c>
    </row>
    <row r="251" spans="1:17">
      <c r="A251" s="9">
        <v>46178</v>
      </c>
      <c r="B251" s="5" t="s">
        <v>25</v>
      </c>
      <c r="C251" s="5" t="s">
        <v>3380</v>
      </c>
      <c r="D251" s="5" t="s">
        <v>25</v>
      </c>
      <c r="E251" s="5" t="s">
        <v>2508</v>
      </c>
      <c r="F251" s="5">
        <f t="shared" si="13"/>
        <v>28</v>
      </c>
      <c r="G251" s="5" t="s">
        <v>19</v>
      </c>
      <c r="H251" s="5" t="s">
        <v>45</v>
      </c>
      <c r="I251" s="5" t="s">
        <v>21</v>
      </c>
      <c r="J251" s="5" t="s">
        <v>28</v>
      </c>
      <c r="K251" s="5">
        <f t="shared" si="14"/>
        <v>3</v>
      </c>
      <c r="L251" s="5">
        <f t="shared" si="15"/>
        <v>4</v>
      </c>
      <c r="M251" s="5" t="str">
        <f t="shared" si="12"/>
        <v/>
      </c>
      <c r="N251" s="5" t="s">
        <v>1027</v>
      </c>
      <c r="O251" s="5"/>
      <c r="P251" s="5"/>
      <c r="Q251" s="5"/>
    </row>
    <row r="252" spans="1:17">
      <c r="A252" s="9">
        <v>46178</v>
      </c>
      <c r="B252" s="5" t="s">
        <v>15</v>
      </c>
      <c r="C252" s="5" t="s">
        <v>16</v>
      </c>
      <c r="D252" s="5" t="s">
        <v>17</v>
      </c>
      <c r="E252" s="5" t="s">
        <v>2509</v>
      </c>
      <c r="F252" s="5">
        <f t="shared" si="13"/>
        <v>23</v>
      </c>
      <c r="G252" s="5" t="s">
        <v>19</v>
      </c>
      <c r="H252" s="5" t="s">
        <v>20</v>
      </c>
      <c r="I252" s="5" t="s">
        <v>28</v>
      </c>
      <c r="J252" s="5" t="s">
        <v>28</v>
      </c>
      <c r="K252" s="5">
        <f t="shared" si="14"/>
        <v>4</v>
      </c>
      <c r="L252" s="5">
        <f t="shared" si="15"/>
        <v>4</v>
      </c>
      <c r="M252" s="5" t="str">
        <f t="shared" si="12"/>
        <v/>
      </c>
      <c r="N252" s="5" t="s">
        <v>3096</v>
      </c>
      <c r="O252" s="5" t="s">
        <v>163</v>
      </c>
      <c r="P252" s="5" t="s">
        <v>100</v>
      </c>
      <c r="Q252" s="5"/>
    </row>
    <row r="253" spans="1:17">
      <c r="A253" s="9">
        <v>46178</v>
      </c>
      <c r="B253" s="5" t="s">
        <v>1030</v>
      </c>
      <c r="C253" s="5" t="s">
        <v>3408</v>
      </c>
      <c r="D253" s="5" t="s">
        <v>1032</v>
      </c>
      <c r="E253" s="5" t="s">
        <v>2510</v>
      </c>
      <c r="F253" s="5">
        <f t="shared" si="13"/>
        <v>23</v>
      </c>
      <c r="G253" s="5" t="s">
        <v>1034</v>
      </c>
      <c r="H253" s="5" t="s">
        <v>20</v>
      </c>
      <c r="I253" s="5" t="s">
        <v>21</v>
      </c>
      <c r="J253" s="5" t="s">
        <v>21</v>
      </c>
      <c r="K253" s="5">
        <f t="shared" si="14"/>
        <v>3</v>
      </c>
      <c r="L253" s="5">
        <f t="shared" si="15"/>
        <v>3</v>
      </c>
      <c r="M253" s="5" t="str">
        <f t="shared" si="12"/>
        <v/>
      </c>
      <c r="N253" s="5" t="s">
        <v>1035</v>
      </c>
      <c r="O253" s="5" t="s">
        <v>1036</v>
      </c>
      <c r="P253" s="5" t="s">
        <v>1037</v>
      </c>
      <c r="Q253" s="5" t="s">
        <v>1038</v>
      </c>
    </row>
    <row r="254" spans="1:17">
      <c r="A254" s="9">
        <v>46178</v>
      </c>
      <c r="B254" s="5" t="s">
        <v>1030</v>
      </c>
      <c r="C254" s="5" t="s">
        <v>3408</v>
      </c>
      <c r="D254" s="5" t="s">
        <v>1032</v>
      </c>
      <c r="E254" s="5" t="s">
        <v>2511</v>
      </c>
      <c r="F254" s="5">
        <f t="shared" si="13"/>
        <v>22</v>
      </c>
      <c r="G254" s="5" t="s">
        <v>1034</v>
      </c>
      <c r="H254" s="5" t="s">
        <v>20</v>
      </c>
      <c r="I254" s="5" t="s">
        <v>21</v>
      </c>
      <c r="J254" s="5" t="s">
        <v>21</v>
      </c>
      <c r="K254" s="5">
        <f t="shared" si="14"/>
        <v>3</v>
      </c>
      <c r="L254" s="5">
        <f t="shared" si="15"/>
        <v>3</v>
      </c>
      <c r="M254" s="5" t="str">
        <f t="shared" si="12"/>
        <v/>
      </c>
      <c r="N254" s="5" t="s">
        <v>1040</v>
      </c>
      <c r="O254" s="5" t="s">
        <v>1041</v>
      </c>
      <c r="P254" s="5" t="s">
        <v>1042</v>
      </c>
      <c r="Q254" s="5" t="s">
        <v>1043</v>
      </c>
    </row>
    <row r="255" spans="1:17">
      <c r="A255" s="9">
        <v>46178</v>
      </c>
      <c r="B255" s="5" t="s">
        <v>150</v>
      </c>
      <c r="C255" s="5" t="s">
        <v>3389</v>
      </c>
      <c r="D255" s="5" t="s">
        <v>150</v>
      </c>
      <c r="E255" s="5" t="s">
        <v>2512</v>
      </c>
      <c r="F255" s="5">
        <f t="shared" si="13"/>
        <v>25</v>
      </c>
      <c r="G255" s="5" t="s">
        <v>19</v>
      </c>
      <c r="H255" s="5" t="s">
        <v>45</v>
      </c>
      <c r="I255" s="5" t="s">
        <v>28</v>
      </c>
      <c r="J255" s="5" t="s">
        <v>28</v>
      </c>
      <c r="K255" s="5">
        <f t="shared" si="14"/>
        <v>4</v>
      </c>
      <c r="L255" s="5">
        <f t="shared" si="15"/>
        <v>4</v>
      </c>
      <c r="M255" s="5" t="str">
        <f t="shared" si="12"/>
        <v/>
      </c>
      <c r="N255" s="5" t="s">
        <v>1045</v>
      </c>
      <c r="O255" s="5" t="s">
        <v>1046</v>
      </c>
      <c r="P255" s="5"/>
      <c r="Q255" s="5" t="s">
        <v>3097</v>
      </c>
    </row>
    <row r="256" spans="1:17">
      <c r="A256" s="9">
        <v>46178</v>
      </c>
      <c r="B256" s="5" t="s">
        <v>81</v>
      </c>
      <c r="C256" s="5" t="s">
        <v>82</v>
      </c>
      <c r="D256" s="5" t="s">
        <v>3391</v>
      </c>
      <c r="E256" s="5" t="s">
        <v>2513</v>
      </c>
      <c r="F256" s="5">
        <f t="shared" si="13"/>
        <v>22</v>
      </c>
      <c r="G256" s="5" t="s">
        <v>19</v>
      </c>
      <c r="H256" s="5" t="s">
        <v>20</v>
      </c>
      <c r="I256" s="5" t="s">
        <v>21</v>
      </c>
      <c r="J256" s="5" t="s">
        <v>21</v>
      </c>
      <c r="K256" s="5">
        <f t="shared" si="14"/>
        <v>3</v>
      </c>
      <c r="L256" s="5">
        <f t="shared" si="15"/>
        <v>3</v>
      </c>
      <c r="M256" s="5" t="str">
        <f t="shared" si="12"/>
        <v/>
      </c>
      <c r="N256" s="5" t="s">
        <v>1049</v>
      </c>
      <c r="O256" s="5" t="s">
        <v>2788</v>
      </c>
      <c r="P256" s="5" t="s">
        <v>1051</v>
      </c>
      <c r="Q256" s="5"/>
    </row>
    <row r="257" spans="1:17">
      <c r="A257" s="9">
        <v>46178</v>
      </c>
      <c r="B257" s="5" t="s">
        <v>15</v>
      </c>
      <c r="C257" s="5" t="s">
        <v>16</v>
      </c>
      <c r="D257" s="5" t="s">
        <v>177</v>
      </c>
      <c r="E257" s="5" t="s">
        <v>2514</v>
      </c>
      <c r="F257" s="5">
        <f t="shared" si="13"/>
        <v>27</v>
      </c>
      <c r="G257" s="5" t="s">
        <v>19</v>
      </c>
      <c r="H257" s="5" t="s">
        <v>20</v>
      </c>
      <c r="I257" s="5" t="s">
        <v>21</v>
      </c>
      <c r="J257" s="5" t="s">
        <v>186</v>
      </c>
      <c r="K257" s="5">
        <f t="shared" si="14"/>
        <v>3</v>
      </c>
      <c r="L257" s="5">
        <f t="shared" si="15"/>
        <v>2</v>
      </c>
      <c r="M257" s="5" t="str">
        <f t="shared" si="12"/>
        <v/>
      </c>
      <c r="N257" s="5" t="s">
        <v>3098</v>
      </c>
      <c r="O257" s="5" t="s">
        <v>3546</v>
      </c>
      <c r="P257" s="5" t="s">
        <v>3099</v>
      </c>
      <c r="Q257" s="5" t="s">
        <v>3100</v>
      </c>
    </row>
    <row r="258" spans="1:17">
      <c r="A258" s="9">
        <v>46178</v>
      </c>
      <c r="B258" s="5" t="s">
        <v>25</v>
      </c>
      <c r="C258" s="5" t="s">
        <v>3380</v>
      </c>
      <c r="D258" s="5" t="s">
        <v>25</v>
      </c>
      <c r="E258" s="5" t="s">
        <v>2515</v>
      </c>
      <c r="F258" s="5">
        <f t="shared" si="13"/>
        <v>30</v>
      </c>
      <c r="G258" s="5" t="s">
        <v>19</v>
      </c>
      <c r="H258" s="5" t="s">
        <v>20</v>
      </c>
      <c r="I258" s="5" t="s">
        <v>21</v>
      </c>
      <c r="J258" s="5" t="s">
        <v>21</v>
      </c>
      <c r="K258" s="5">
        <f t="shared" si="14"/>
        <v>3</v>
      </c>
      <c r="L258" s="5">
        <f t="shared" si="15"/>
        <v>3</v>
      </c>
      <c r="M258" s="5" t="str">
        <f t="shared" ref="M258:M321" si="16">IF(OR(I258="Poor",I258="Very Poor"),"YES","")</f>
        <v/>
      </c>
      <c r="N258" s="5" t="s">
        <v>3101</v>
      </c>
      <c r="O258" s="5" t="s">
        <v>3102</v>
      </c>
      <c r="P258" s="5" t="s">
        <v>3103</v>
      </c>
      <c r="Q258" s="5"/>
    </row>
    <row r="259" spans="1:17">
      <c r="A259" s="9">
        <v>46178</v>
      </c>
      <c r="B259" s="5" t="s">
        <v>1030</v>
      </c>
      <c r="C259" s="5" t="s">
        <v>3408</v>
      </c>
      <c r="D259" s="5" t="s">
        <v>1061</v>
      </c>
      <c r="E259" s="5" t="s">
        <v>2516</v>
      </c>
      <c r="F259" s="5">
        <f t="shared" ref="F259:F322" si="17">LEN(E259)</f>
        <v>23</v>
      </c>
      <c r="G259" s="5" t="s">
        <v>1034</v>
      </c>
      <c r="H259" s="5" t="s">
        <v>20</v>
      </c>
      <c r="I259" s="5" t="s">
        <v>21</v>
      </c>
      <c r="J259" s="5" t="s">
        <v>21</v>
      </c>
      <c r="K259" s="5">
        <f t="shared" ref="K259:K322" si="18">IF(I259="Very Good",4,IF(I259="Good",3,IF(I259="Poor",2,IF(I259="Very Poor",1,""))))</f>
        <v>3</v>
      </c>
      <c r="L259" s="5">
        <f t="shared" ref="L259:L322" si="19">IF(J259="Very Good",4,IF(J259="Good",3,IF(J259="Poor",2,IF(J259="Very Poor",1,""))))</f>
        <v>3</v>
      </c>
      <c r="M259" s="5" t="str">
        <f t="shared" si="16"/>
        <v/>
      </c>
      <c r="N259" s="5" t="s">
        <v>280</v>
      </c>
      <c r="O259" s="5"/>
      <c r="P259" s="5" t="s">
        <v>1063</v>
      </c>
      <c r="Q259" s="5"/>
    </row>
    <row r="260" spans="1:17">
      <c r="A260" s="9">
        <v>46178</v>
      </c>
      <c r="B260" s="5" t="s">
        <v>15</v>
      </c>
      <c r="C260" s="5" t="s">
        <v>16</v>
      </c>
      <c r="D260" s="5" t="s">
        <v>1064</v>
      </c>
      <c r="E260" s="5" t="s">
        <v>2517</v>
      </c>
      <c r="F260" s="5">
        <f t="shared" si="17"/>
        <v>24</v>
      </c>
      <c r="G260" s="5" t="s">
        <v>107</v>
      </c>
      <c r="H260" s="5" t="s">
        <v>20</v>
      </c>
      <c r="I260" s="5" t="s">
        <v>21</v>
      </c>
      <c r="J260" s="5" t="s">
        <v>21</v>
      </c>
      <c r="K260" s="5">
        <f t="shared" si="18"/>
        <v>3</v>
      </c>
      <c r="L260" s="5">
        <f t="shared" si="19"/>
        <v>3</v>
      </c>
      <c r="M260" s="5" t="str">
        <f t="shared" si="16"/>
        <v/>
      </c>
      <c r="N260" s="5" t="s">
        <v>3104</v>
      </c>
      <c r="O260" s="5" t="s">
        <v>3105</v>
      </c>
      <c r="P260" s="5" t="s">
        <v>1068</v>
      </c>
      <c r="Q260" s="5"/>
    </row>
    <row r="261" spans="1:17">
      <c r="A261" s="9">
        <v>46178</v>
      </c>
      <c r="B261" s="5" t="s">
        <v>25</v>
      </c>
      <c r="C261" s="5" t="s">
        <v>3380</v>
      </c>
      <c r="D261" s="5" t="s">
        <v>25</v>
      </c>
      <c r="E261" s="5" t="s">
        <v>3106</v>
      </c>
      <c r="F261" s="5">
        <f t="shared" si="17"/>
        <v>19</v>
      </c>
      <c r="G261" s="5" t="s">
        <v>19</v>
      </c>
      <c r="H261" s="5" t="s">
        <v>20</v>
      </c>
      <c r="I261" s="5" t="s">
        <v>28</v>
      </c>
      <c r="J261" s="5" t="s">
        <v>28</v>
      </c>
      <c r="K261" s="5">
        <f t="shared" si="18"/>
        <v>4</v>
      </c>
      <c r="L261" s="5">
        <f t="shared" si="19"/>
        <v>4</v>
      </c>
      <c r="M261" s="5" t="str">
        <f t="shared" si="16"/>
        <v/>
      </c>
      <c r="N261" s="5" t="s">
        <v>3107</v>
      </c>
      <c r="O261" s="5" t="s">
        <v>3547</v>
      </c>
      <c r="P261" s="5" t="s">
        <v>3108</v>
      </c>
      <c r="Q261" s="5"/>
    </row>
    <row r="262" spans="1:17">
      <c r="A262" s="9">
        <v>46178</v>
      </c>
      <c r="B262" s="5" t="s">
        <v>1073</v>
      </c>
      <c r="C262" s="5" t="s">
        <v>3409</v>
      </c>
      <c r="D262" s="5" t="s">
        <v>1075</v>
      </c>
      <c r="E262" s="5" t="s">
        <v>2518</v>
      </c>
      <c r="F262" s="5">
        <f t="shared" si="17"/>
        <v>21</v>
      </c>
      <c r="G262" s="5" t="s">
        <v>1034</v>
      </c>
      <c r="H262" s="5" t="s">
        <v>20</v>
      </c>
      <c r="I262" s="5" t="s">
        <v>21</v>
      </c>
      <c r="J262" s="5" t="s">
        <v>28</v>
      </c>
      <c r="K262" s="5">
        <f t="shared" si="18"/>
        <v>3</v>
      </c>
      <c r="L262" s="5">
        <f t="shared" si="19"/>
        <v>4</v>
      </c>
      <c r="M262" s="5" t="str">
        <f t="shared" si="16"/>
        <v/>
      </c>
      <c r="N262" s="5" t="s">
        <v>1077</v>
      </c>
      <c r="O262" s="5" t="s">
        <v>1078</v>
      </c>
      <c r="P262" s="5" t="s">
        <v>1079</v>
      </c>
      <c r="Q262" s="5"/>
    </row>
    <row r="263" spans="1:17">
      <c r="A263" s="9">
        <v>46178</v>
      </c>
      <c r="B263" s="5" t="s">
        <v>15</v>
      </c>
      <c r="C263" s="5" t="s">
        <v>16</v>
      </c>
      <c r="D263" s="5" t="s">
        <v>1064</v>
      </c>
      <c r="E263" s="5" t="s">
        <v>2519</v>
      </c>
      <c r="F263" s="5">
        <f t="shared" si="17"/>
        <v>24</v>
      </c>
      <c r="G263" s="5" t="s">
        <v>19</v>
      </c>
      <c r="H263" s="5" t="s">
        <v>20</v>
      </c>
      <c r="I263" s="5" t="s">
        <v>21</v>
      </c>
      <c r="J263" s="5" t="s">
        <v>21</v>
      </c>
      <c r="K263" s="5">
        <f t="shared" si="18"/>
        <v>3</v>
      </c>
      <c r="L263" s="5">
        <f t="shared" si="19"/>
        <v>3</v>
      </c>
      <c r="M263" s="5" t="str">
        <f t="shared" si="16"/>
        <v/>
      </c>
      <c r="N263" s="5" t="s">
        <v>1081</v>
      </c>
      <c r="O263" s="5" t="s">
        <v>1082</v>
      </c>
      <c r="P263" s="5" t="s">
        <v>1083</v>
      </c>
      <c r="Q263" s="5"/>
    </row>
    <row r="264" spans="1:17">
      <c r="A264" s="9">
        <v>46178</v>
      </c>
      <c r="B264" s="5" t="s">
        <v>960</v>
      </c>
      <c r="C264" s="5" t="s">
        <v>50</v>
      </c>
      <c r="D264" s="5" t="s">
        <v>3404</v>
      </c>
      <c r="E264" s="5" t="s">
        <v>2789</v>
      </c>
      <c r="F264" s="5">
        <f t="shared" si="17"/>
        <v>20</v>
      </c>
      <c r="G264" s="5" t="s">
        <v>19</v>
      </c>
      <c r="H264" s="5" t="s">
        <v>20</v>
      </c>
      <c r="I264" s="5" t="s">
        <v>28</v>
      </c>
      <c r="J264" s="5" t="s">
        <v>28</v>
      </c>
      <c r="K264" s="5">
        <f t="shared" si="18"/>
        <v>4</v>
      </c>
      <c r="L264" s="5">
        <f t="shared" si="19"/>
        <v>4</v>
      </c>
      <c r="M264" s="5" t="str">
        <f t="shared" si="16"/>
        <v/>
      </c>
      <c r="N264" s="5" t="s">
        <v>3109</v>
      </c>
      <c r="O264" s="5" t="s">
        <v>1086</v>
      </c>
      <c r="P264" s="5" t="s">
        <v>1086</v>
      </c>
      <c r="Q264" s="5"/>
    </row>
    <row r="265" spans="1:17">
      <c r="A265" s="9">
        <v>46178</v>
      </c>
      <c r="B265" s="5" t="s">
        <v>81</v>
      </c>
      <c r="C265" s="5" t="s">
        <v>50</v>
      </c>
      <c r="D265" s="5" t="s">
        <v>3387</v>
      </c>
      <c r="E265" s="5" t="s">
        <v>2520</v>
      </c>
      <c r="F265" s="5">
        <f t="shared" si="17"/>
        <v>18</v>
      </c>
      <c r="G265" s="5" t="s">
        <v>19</v>
      </c>
      <c r="H265" s="5" t="s">
        <v>20</v>
      </c>
      <c r="I265" s="5" t="s">
        <v>21</v>
      </c>
      <c r="J265" s="5" t="s">
        <v>21</v>
      </c>
      <c r="K265" s="5">
        <f t="shared" si="18"/>
        <v>3</v>
      </c>
      <c r="L265" s="5">
        <f t="shared" si="19"/>
        <v>3</v>
      </c>
      <c r="M265" s="5" t="str">
        <f t="shared" si="16"/>
        <v/>
      </c>
      <c r="N265" s="5" t="s">
        <v>1088</v>
      </c>
      <c r="O265" s="5" t="s">
        <v>828</v>
      </c>
      <c r="P265" s="5" t="s">
        <v>1089</v>
      </c>
      <c r="Q265" s="5"/>
    </row>
    <row r="266" spans="1:17">
      <c r="A266" s="9">
        <v>46178</v>
      </c>
      <c r="B266" s="5" t="s">
        <v>25</v>
      </c>
      <c r="C266" s="5" t="s">
        <v>3380</v>
      </c>
      <c r="D266" s="5" t="s">
        <v>25</v>
      </c>
      <c r="E266" s="5" t="s">
        <v>2521</v>
      </c>
      <c r="F266" s="5">
        <f t="shared" si="17"/>
        <v>31</v>
      </c>
      <c r="G266" s="5" t="s">
        <v>19</v>
      </c>
      <c r="H266" s="5" t="s">
        <v>20</v>
      </c>
      <c r="I266" s="5" t="s">
        <v>28</v>
      </c>
      <c r="J266" s="5" t="s">
        <v>28</v>
      </c>
      <c r="K266" s="5">
        <f t="shared" si="18"/>
        <v>4</v>
      </c>
      <c r="L266" s="5">
        <f t="shared" si="19"/>
        <v>4</v>
      </c>
      <c r="M266" s="5" t="str">
        <f t="shared" si="16"/>
        <v/>
      </c>
      <c r="N266" s="5" t="s">
        <v>1091</v>
      </c>
      <c r="O266" s="5"/>
      <c r="P266" s="5"/>
      <c r="Q266" s="5"/>
    </row>
    <row r="267" spans="1:17">
      <c r="A267" s="9">
        <v>46178</v>
      </c>
      <c r="B267" s="5" t="s">
        <v>1030</v>
      </c>
      <c r="C267" s="5" t="s">
        <v>3408</v>
      </c>
      <c r="D267" s="5" t="s">
        <v>1061</v>
      </c>
      <c r="E267" s="5" t="s">
        <v>2522</v>
      </c>
      <c r="F267" s="5">
        <f t="shared" si="17"/>
        <v>43</v>
      </c>
      <c r="G267" s="5" t="s">
        <v>981</v>
      </c>
      <c r="H267" s="5" t="s">
        <v>20</v>
      </c>
      <c r="I267" s="5" t="s">
        <v>21</v>
      </c>
      <c r="J267" s="5" t="s">
        <v>21</v>
      </c>
      <c r="K267" s="5">
        <f t="shared" si="18"/>
        <v>3</v>
      </c>
      <c r="L267" s="5">
        <f t="shared" si="19"/>
        <v>3</v>
      </c>
      <c r="M267" s="5" t="str">
        <f t="shared" si="16"/>
        <v/>
      </c>
      <c r="N267" s="5" t="s">
        <v>3110</v>
      </c>
      <c r="O267" s="5" t="s">
        <v>3111</v>
      </c>
      <c r="P267" s="5" t="s">
        <v>2790</v>
      </c>
      <c r="Q267" s="5"/>
    </row>
    <row r="268" spans="1:17">
      <c r="A268" s="9">
        <v>46178</v>
      </c>
      <c r="B268" s="5" t="s">
        <v>1073</v>
      </c>
      <c r="C268" s="5" t="s">
        <v>3409</v>
      </c>
      <c r="D268" s="5" t="s">
        <v>1075</v>
      </c>
      <c r="E268" s="5" t="s">
        <v>2523</v>
      </c>
      <c r="F268" s="5">
        <f t="shared" si="17"/>
        <v>24</v>
      </c>
      <c r="G268" s="5" t="s">
        <v>981</v>
      </c>
      <c r="H268" s="5" t="s">
        <v>20</v>
      </c>
      <c r="I268" s="5" t="s">
        <v>21</v>
      </c>
      <c r="J268" s="5" t="s">
        <v>21</v>
      </c>
      <c r="K268" s="5">
        <f t="shared" si="18"/>
        <v>3</v>
      </c>
      <c r="L268" s="5">
        <f t="shared" si="19"/>
        <v>3</v>
      </c>
      <c r="M268" s="5" t="str">
        <f t="shared" si="16"/>
        <v/>
      </c>
      <c r="N268" s="5" t="s">
        <v>1097</v>
      </c>
      <c r="O268" s="5" t="s">
        <v>1098</v>
      </c>
      <c r="P268" s="5" t="s">
        <v>1099</v>
      </c>
      <c r="Q268" s="5" t="s">
        <v>123</v>
      </c>
    </row>
    <row r="269" spans="1:17">
      <c r="A269" s="9">
        <v>46178</v>
      </c>
      <c r="B269" s="5" t="s">
        <v>1030</v>
      </c>
      <c r="C269" s="5" t="s">
        <v>3408</v>
      </c>
      <c r="D269" s="5" t="s">
        <v>1032</v>
      </c>
      <c r="E269" s="5" t="s">
        <v>2524</v>
      </c>
      <c r="F269" s="5">
        <f t="shared" si="17"/>
        <v>20</v>
      </c>
      <c r="G269" s="5" t="s">
        <v>1034</v>
      </c>
      <c r="H269" s="5" t="s">
        <v>20</v>
      </c>
      <c r="I269" s="5" t="s">
        <v>186</v>
      </c>
      <c r="J269" s="5" t="s">
        <v>186</v>
      </c>
      <c r="K269" s="5">
        <f t="shared" si="18"/>
        <v>2</v>
      </c>
      <c r="L269" s="5">
        <f t="shared" si="19"/>
        <v>2</v>
      </c>
      <c r="M269" s="5" t="str">
        <f t="shared" si="16"/>
        <v>YES</v>
      </c>
      <c r="N269" s="5" t="s">
        <v>1101</v>
      </c>
      <c r="O269" s="5" t="s">
        <v>2791</v>
      </c>
      <c r="P269" s="5" t="s">
        <v>737</v>
      </c>
      <c r="Q269" s="5" t="s">
        <v>1103</v>
      </c>
    </row>
    <row r="270" spans="1:17">
      <c r="A270" s="9">
        <v>46178</v>
      </c>
      <c r="B270" s="5" t="s">
        <v>81</v>
      </c>
      <c r="C270" s="5" t="s">
        <v>82</v>
      </c>
      <c r="D270" s="5" t="s">
        <v>3391</v>
      </c>
      <c r="E270" s="5" t="s">
        <v>2525</v>
      </c>
      <c r="F270" s="5">
        <f t="shared" si="17"/>
        <v>22</v>
      </c>
      <c r="G270" s="5" t="s">
        <v>19</v>
      </c>
      <c r="H270" s="5" t="s">
        <v>20</v>
      </c>
      <c r="I270" s="5" t="s">
        <v>21</v>
      </c>
      <c r="J270" s="5" t="s">
        <v>21</v>
      </c>
      <c r="K270" s="5">
        <f t="shared" si="18"/>
        <v>3</v>
      </c>
      <c r="L270" s="5">
        <f t="shared" si="19"/>
        <v>3</v>
      </c>
      <c r="M270" s="5" t="str">
        <f t="shared" si="16"/>
        <v/>
      </c>
      <c r="N270" s="5" t="s">
        <v>3548</v>
      </c>
      <c r="O270" s="5" t="s">
        <v>1106</v>
      </c>
      <c r="P270" s="5" t="s">
        <v>1106</v>
      </c>
      <c r="Q270" s="5"/>
    </row>
    <row r="271" spans="1:17">
      <c r="A271" s="9">
        <v>46178</v>
      </c>
      <c r="B271" s="5" t="s">
        <v>15</v>
      </c>
      <c r="C271" s="5" t="s">
        <v>16</v>
      </c>
      <c r="D271" s="5" t="s">
        <v>1064</v>
      </c>
      <c r="E271" s="5" t="s">
        <v>2526</v>
      </c>
      <c r="F271" s="5">
        <f t="shared" si="17"/>
        <v>23</v>
      </c>
      <c r="G271" s="5" t="s">
        <v>107</v>
      </c>
      <c r="H271" s="5" t="s">
        <v>20</v>
      </c>
      <c r="I271" s="5" t="s">
        <v>28</v>
      </c>
      <c r="J271" s="5" t="s">
        <v>28</v>
      </c>
      <c r="K271" s="5">
        <f t="shared" si="18"/>
        <v>4</v>
      </c>
      <c r="L271" s="5">
        <f t="shared" si="19"/>
        <v>4</v>
      </c>
      <c r="M271" s="5" t="str">
        <f t="shared" si="16"/>
        <v/>
      </c>
      <c r="N271" s="5" t="s">
        <v>1108</v>
      </c>
      <c r="O271" s="5" t="s">
        <v>1109</v>
      </c>
      <c r="P271" s="5" t="s">
        <v>1110</v>
      </c>
      <c r="Q271" s="5" t="s">
        <v>100</v>
      </c>
    </row>
    <row r="272" spans="1:17">
      <c r="A272" s="9">
        <v>46178</v>
      </c>
      <c r="B272" s="5" t="s">
        <v>81</v>
      </c>
      <c r="C272" s="5" t="s">
        <v>82</v>
      </c>
      <c r="D272" s="5" t="s">
        <v>3391</v>
      </c>
      <c r="E272" s="5" t="s">
        <v>2527</v>
      </c>
      <c r="F272" s="5">
        <f t="shared" si="17"/>
        <v>44</v>
      </c>
      <c r="G272" s="5" t="s">
        <v>19</v>
      </c>
      <c r="H272" s="5" t="s">
        <v>20</v>
      </c>
      <c r="I272" s="5" t="s">
        <v>21</v>
      </c>
      <c r="J272" s="5" t="s">
        <v>21</v>
      </c>
      <c r="K272" s="5">
        <f t="shared" si="18"/>
        <v>3</v>
      </c>
      <c r="L272" s="5">
        <f t="shared" si="19"/>
        <v>3</v>
      </c>
      <c r="M272" s="5" t="str">
        <f t="shared" si="16"/>
        <v/>
      </c>
      <c r="N272" s="5" t="s">
        <v>1112</v>
      </c>
      <c r="O272" s="5" t="s">
        <v>1113</v>
      </c>
      <c r="P272" s="5" t="s">
        <v>1114</v>
      </c>
      <c r="Q272" s="5"/>
    </row>
    <row r="273" spans="1:17">
      <c r="A273" s="9">
        <v>46178</v>
      </c>
      <c r="B273" s="5" t="s">
        <v>1073</v>
      </c>
      <c r="C273" s="5" t="s">
        <v>3409</v>
      </c>
      <c r="D273" s="5" t="s">
        <v>1075</v>
      </c>
      <c r="E273" s="5" t="s">
        <v>2528</v>
      </c>
      <c r="F273" s="5">
        <f t="shared" si="17"/>
        <v>23</v>
      </c>
      <c r="G273" s="5" t="s">
        <v>981</v>
      </c>
      <c r="H273" s="5" t="s">
        <v>20</v>
      </c>
      <c r="I273" s="5" t="s">
        <v>21</v>
      </c>
      <c r="J273" s="5" t="s">
        <v>21</v>
      </c>
      <c r="K273" s="5">
        <f t="shared" si="18"/>
        <v>3</v>
      </c>
      <c r="L273" s="5">
        <f t="shared" si="19"/>
        <v>3</v>
      </c>
      <c r="M273" s="5" t="str">
        <f t="shared" si="16"/>
        <v/>
      </c>
      <c r="N273" s="5" t="s">
        <v>1116</v>
      </c>
      <c r="O273" s="5" t="s">
        <v>1117</v>
      </c>
      <c r="P273" s="5" t="s">
        <v>1118</v>
      </c>
      <c r="Q273" s="5"/>
    </row>
    <row r="274" spans="1:17">
      <c r="A274" s="9">
        <v>46178</v>
      </c>
      <c r="B274" s="5" t="s">
        <v>81</v>
      </c>
      <c r="C274" s="5" t="s">
        <v>82</v>
      </c>
      <c r="D274" s="5" t="s">
        <v>3391</v>
      </c>
      <c r="E274" s="5" t="s">
        <v>2529</v>
      </c>
      <c r="F274" s="5">
        <f t="shared" si="17"/>
        <v>30</v>
      </c>
      <c r="G274" s="5" t="s">
        <v>19</v>
      </c>
      <c r="H274" s="5" t="s">
        <v>20</v>
      </c>
      <c r="I274" s="5" t="s">
        <v>28</v>
      </c>
      <c r="J274" s="5" t="s">
        <v>28</v>
      </c>
      <c r="K274" s="5">
        <f t="shared" si="18"/>
        <v>4</v>
      </c>
      <c r="L274" s="5">
        <f t="shared" si="19"/>
        <v>4</v>
      </c>
      <c r="M274" s="5" t="str">
        <f t="shared" si="16"/>
        <v/>
      </c>
      <c r="N274" s="5" t="s">
        <v>1120</v>
      </c>
      <c r="O274" s="5" t="s">
        <v>3112</v>
      </c>
      <c r="P274" s="5" t="s">
        <v>3113</v>
      </c>
      <c r="Q274" s="5"/>
    </row>
    <row r="275" spans="1:17">
      <c r="A275" s="9">
        <v>46178</v>
      </c>
      <c r="B275" s="5" t="s">
        <v>150</v>
      </c>
      <c r="C275" s="5" t="s">
        <v>3389</v>
      </c>
      <c r="D275" s="5" t="s">
        <v>150</v>
      </c>
      <c r="E275" s="5" t="s">
        <v>3114</v>
      </c>
      <c r="F275" s="5">
        <f t="shared" si="17"/>
        <v>36</v>
      </c>
      <c r="G275" s="5" t="s">
        <v>19</v>
      </c>
      <c r="H275" s="5" t="s">
        <v>45</v>
      </c>
      <c r="I275" s="5" t="s">
        <v>28</v>
      </c>
      <c r="J275" s="5" t="s">
        <v>28</v>
      </c>
      <c r="K275" s="5">
        <f t="shared" si="18"/>
        <v>4</v>
      </c>
      <c r="L275" s="5">
        <f t="shared" si="19"/>
        <v>4</v>
      </c>
      <c r="M275" s="5" t="str">
        <f t="shared" si="16"/>
        <v/>
      </c>
      <c r="N275" s="5" t="s">
        <v>1124</v>
      </c>
      <c r="O275" s="5"/>
      <c r="P275" s="5" t="s">
        <v>1125</v>
      </c>
      <c r="Q275" s="5"/>
    </row>
    <row r="276" spans="1:17">
      <c r="A276" s="9">
        <v>46178</v>
      </c>
      <c r="B276" s="5" t="s">
        <v>81</v>
      </c>
      <c r="C276" s="5" t="s">
        <v>82</v>
      </c>
      <c r="D276" s="5" t="s">
        <v>83</v>
      </c>
      <c r="E276" s="5" t="s">
        <v>2530</v>
      </c>
      <c r="F276" s="5">
        <f t="shared" si="17"/>
        <v>21</v>
      </c>
      <c r="G276" s="5" t="s">
        <v>19</v>
      </c>
      <c r="H276" s="5" t="s">
        <v>45</v>
      </c>
      <c r="I276" s="5" t="s">
        <v>21</v>
      </c>
      <c r="J276" s="5" t="s">
        <v>21</v>
      </c>
      <c r="K276" s="5">
        <f t="shared" si="18"/>
        <v>3</v>
      </c>
      <c r="L276" s="5">
        <f t="shared" si="19"/>
        <v>3</v>
      </c>
      <c r="M276" s="5" t="str">
        <f t="shared" si="16"/>
        <v/>
      </c>
      <c r="N276" s="5" t="s">
        <v>1127</v>
      </c>
      <c r="O276" s="5" t="s">
        <v>1128</v>
      </c>
      <c r="P276" s="5" t="s">
        <v>1129</v>
      </c>
      <c r="Q276" s="5"/>
    </row>
    <row r="277" spans="1:17">
      <c r="A277" s="9">
        <v>46178</v>
      </c>
      <c r="B277" s="5" t="s">
        <v>1073</v>
      </c>
      <c r="C277" s="5" t="s">
        <v>3409</v>
      </c>
      <c r="D277" s="5" t="s">
        <v>1075</v>
      </c>
      <c r="E277" s="5" t="s">
        <v>2531</v>
      </c>
      <c r="F277" s="5">
        <f t="shared" si="17"/>
        <v>31</v>
      </c>
      <c r="G277" s="5" t="s">
        <v>1034</v>
      </c>
      <c r="H277" s="5" t="s">
        <v>20</v>
      </c>
      <c r="I277" s="5" t="s">
        <v>28</v>
      </c>
      <c r="J277" s="5" t="s">
        <v>28</v>
      </c>
      <c r="K277" s="5">
        <f t="shared" si="18"/>
        <v>4</v>
      </c>
      <c r="L277" s="5">
        <f t="shared" si="19"/>
        <v>4</v>
      </c>
      <c r="M277" s="5" t="str">
        <f t="shared" si="16"/>
        <v/>
      </c>
      <c r="N277" s="5" t="s">
        <v>1131</v>
      </c>
      <c r="O277" s="5" t="s">
        <v>1132</v>
      </c>
      <c r="P277" s="5" t="s">
        <v>1133</v>
      </c>
      <c r="Q277" s="5" t="s">
        <v>1134</v>
      </c>
    </row>
    <row r="278" spans="1:17">
      <c r="A278" s="9">
        <v>46178</v>
      </c>
      <c r="B278" s="5" t="s">
        <v>150</v>
      </c>
      <c r="C278" s="5" t="s">
        <v>3389</v>
      </c>
      <c r="D278" s="5" t="s">
        <v>150</v>
      </c>
      <c r="E278" s="5" t="s">
        <v>2792</v>
      </c>
      <c r="F278" s="5">
        <f t="shared" si="17"/>
        <v>37</v>
      </c>
      <c r="G278" s="5" t="s">
        <v>19</v>
      </c>
      <c r="H278" s="5" t="s">
        <v>20</v>
      </c>
      <c r="I278" s="5" t="s">
        <v>28</v>
      </c>
      <c r="J278" s="5" t="s">
        <v>28</v>
      </c>
      <c r="K278" s="5">
        <f t="shared" si="18"/>
        <v>4</v>
      </c>
      <c r="L278" s="5">
        <f t="shared" si="19"/>
        <v>4</v>
      </c>
      <c r="M278" s="5" t="str">
        <f t="shared" si="16"/>
        <v/>
      </c>
      <c r="N278" s="5" t="s">
        <v>3115</v>
      </c>
      <c r="O278" s="5" t="s">
        <v>3116</v>
      </c>
      <c r="P278" s="5" t="s">
        <v>3117</v>
      </c>
      <c r="Q278" s="5" t="s">
        <v>3118</v>
      </c>
    </row>
    <row r="279" spans="1:17">
      <c r="A279" s="9">
        <v>46178</v>
      </c>
      <c r="B279" s="5" t="s">
        <v>1030</v>
      </c>
      <c r="C279" s="5" t="s">
        <v>3408</v>
      </c>
      <c r="D279" s="5" t="s">
        <v>1061</v>
      </c>
      <c r="E279" s="5" t="s">
        <v>2532</v>
      </c>
      <c r="F279" s="5">
        <f t="shared" si="17"/>
        <v>41</v>
      </c>
      <c r="G279" s="5" t="s">
        <v>1034</v>
      </c>
      <c r="H279" s="5" t="s">
        <v>45</v>
      </c>
      <c r="I279" s="5" t="s">
        <v>21</v>
      </c>
      <c r="J279" s="5" t="s">
        <v>21</v>
      </c>
      <c r="K279" s="5">
        <f t="shared" si="18"/>
        <v>3</v>
      </c>
      <c r="L279" s="5">
        <f t="shared" si="19"/>
        <v>3</v>
      </c>
      <c r="M279" s="5" t="str">
        <f t="shared" si="16"/>
        <v/>
      </c>
      <c r="N279" s="5" t="s">
        <v>3119</v>
      </c>
      <c r="O279" s="5" t="s">
        <v>3120</v>
      </c>
      <c r="P279" s="5" t="s">
        <v>3121</v>
      </c>
      <c r="Q279" s="5" t="s">
        <v>123</v>
      </c>
    </row>
    <row r="280" spans="1:17">
      <c r="A280" s="9">
        <v>46178</v>
      </c>
      <c r="B280" s="5" t="s">
        <v>1030</v>
      </c>
      <c r="C280" s="5" t="s">
        <v>3408</v>
      </c>
      <c r="D280" s="5" t="s">
        <v>1032</v>
      </c>
      <c r="E280" s="5" t="s">
        <v>2533</v>
      </c>
      <c r="F280" s="5">
        <f t="shared" si="17"/>
        <v>23</v>
      </c>
      <c r="G280" s="5" t="s">
        <v>1034</v>
      </c>
      <c r="H280" s="5" t="s">
        <v>20</v>
      </c>
      <c r="I280" s="5" t="s">
        <v>28</v>
      </c>
      <c r="J280" s="5" t="s">
        <v>21</v>
      </c>
      <c r="K280" s="5">
        <f t="shared" si="18"/>
        <v>4</v>
      </c>
      <c r="L280" s="5">
        <f t="shared" si="19"/>
        <v>3</v>
      </c>
      <c r="M280" s="5" t="str">
        <f t="shared" si="16"/>
        <v/>
      </c>
      <c r="N280" s="5" t="s">
        <v>3122</v>
      </c>
      <c r="O280" s="5" t="s">
        <v>3123</v>
      </c>
      <c r="P280" s="5" t="s">
        <v>1147</v>
      </c>
      <c r="Q280" s="5"/>
    </row>
    <row r="281" spans="1:17">
      <c r="A281" s="9">
        <v>46178</v>
      </c>
      <c r="B281" s="5" t="s">
        <v>1073</v>
      </c>
      <c r="C281" s="5" t="s">
        <v>3409</v>
      </c>
      <c r="D281" s="5" t="s">
        <v>1075</v>
      </c>
      <c r="E281" s="5" t="s">
        <v>2534</v>
      </c>
      <c r="F281" s="5">
        <f t="shared" si="17"/>
        <v>22</v>
      </c>
      <c r="G281" s="5" t="s">
        <v>981</v>
      </c>
      <c r="H281" s="5" t="s">
        <v>20</v>
      </c>
      <c r="I281" s="5" t="s">
        <v>21</v>
      </c>
      <c r="J281" s="5" t="s">
        <v>28</v>
      </c>
      <c r="K281" s="5">
        <f t="shared" si="18"/>
        <v>3</v>
      </c>
      <c r="L281" s="5">
        <f t="shared" si="19"/>
        <v>4</v>
      </c>
      <c r="M281" s="5" t="str">
        <f t="shared" si="16"/>
        <v/>
      </c>
      <c r="N281" s="5" t="s">
        <v>3124</v>
      </c>
      <c r="O281" s="5" t="s">
        <v>3125</v>
      </c>
      <c r="P281" s="5" t="s">
        <v>3126</v>
      </c>
      <c r="Q281" s="5" t="s">
        <v>123</v>
      </c>
    </row>
    <row r="282" spans="1:17">
      <c r="A282" s="9">
        <v>46178</v>
      </c>
      <c r="B282" s="5" t="s">
        <v>15</v>
      </c>
      <c r="C282" s="5" t="s">
        <v>16</v>
      </c>
      <c r="D282" s="5" t="s">
        <v>1064</v>
      </c>
      <c r="E282" s="5" t="s">
        <v>2535</v>
      </c>
      <c r="F282" s="5">
        <f t="shared" si="17"/>
        <v>20</v>
      </c>
      <c r="G282" s="5" t="s">
        <v>19</v>
      </c>
      <c r="H282" s="5" t="s">
        <v>20</v>
      </c>
      <c r="I282" s="5" t="s">
        <v>21</v>
      </c>
      <c r="J282" s="5" t="s">
        <v>21</v>
      </c>
      <c r="K282" s="5">
        <f t="shared" si="18"/>
        <v>3</v>
      </c>
      <c r="L282" s="5">
        <f t="shared" si="19"/>
        <v>3</v>
      </c>
      <c r="M282" s="5" t="str">
        <f t="shared" si="16"/>
        <v/>
      </c>
      <c r="N282" s="5" t="s">
        <v>1153</v>
      </c>
      <c r="O282" s="5" t="s">
        <v>1154</v>
      </c>
      <c r="P282" s="5" t="s">
        <v>1155</v>
      </c>
      <c r="Q282" s="5"/>
    </row>
    <row r="283" spans="1:17">
      <c r="A283" s="9">
        <v>46178</v>
      </c>
      <c r="B283" s="5" t="s">
        <v>81</v>
      </c>
      <c r="C283" s="5" t="s">
        <v>50</v>
      </c>
      <c r="D283" s="5" t="s">
        <v>3390</v>
      </c>
      <c r="E283" s="5" t="s">
        <v>2536</v>
      </c>
      <c r="F283" s="5">
        <f t="shared" si="17"/>
        <v>42</v>
      </c>
      <c r="G283" s="5" t="s">
        <v>19</v>
      </c>
      <c r="H283" s="5" t="s">
        <v>20</v>
      </c>
      <c r="I283" s="5" t="s">
        <v>21</v>
      </c>
      <c r="J283" s="5" t="s">
        <v>28</v>
      </c>
      <c r="K283" s="5">
        <f t="shared" si="18"/>
        <v>3</v>
      </c>
      <c r="L283" s="5">
        <f t="shared" si="19"/>
        <v>4</v>
      </c>
      <c r="M283" s="5" t="str">
        <f t="shared" si="16"/>
        <v/>
      </c>
      <c r="N283" s="5" t="s">
        <v>3549</v>
      </c>
      <c r="O283" s="5" t="s">
        <v>1158</v>
      </c>
      <c r="P283" s="5" t="s">
        <v>1159</v>
      </c>
      <c r="Q283" s="5" t="s">
        <v>1160</v>
      </c>
    </row>
    <row r="284" spans="1:17">
      <c r="A284" s="9">
        <v>46178</v>
      </c>
      <c r="B284" s="5" t="s">
        <v>81</v>
      </c>
      <c r="C284" s="5" t="s">
        <v>50</v>
      </c>
      <c r="D284" s="5" t="s">
        <v>3390</v>
      </c>
      <c r="E284" s="5" t="s">
        <v>2537</v>
      </c>
      <c r="F284" s="5">
        <f t="shared" si="17"/>
        <v>33</v>
      </c>
      <c r="G284" s="5" t="s">
        <v>19</v>
      </c>
      <c r="H284" s="5" t="s">
        <v>20</v>
      </c>
      <c r="I284" s="5" t="s">
        <v>21</v>
      </c>
      <c r="J284" s="5" t="s">
        <v>21</v>
      </c>
      <c r="K284" s="5">
        <f t="shared" si="18"/>
        <v>3</v>
      </c>
      <c r="L284" s="5">
        <f t="shared" si="19"/>
        <v>3</v>
      </c>
      <c r="M284" s="5" t="str">
        <f t="shared" si="16"/>
        <v/>
      </c>
      <c r="N284" s="5" t="s">
        <v>1162</v>
      </c>
      <c r="O284" s="5" t="s">
        <v>1163</v>
      </c>
      <c r="P284" s="5"/>
      <c r="Q284" s="5"/>
    </row>
    <row r="285" spans="1:17">
      <c r="A285" s="9">
        <v>46178</v>
      </c>
      <c r="B285" s="5" t="s">
        <v>15</v>
      </c>
      <c r="C285" s="5" t="s">
        <v>33</v>
      </c>
      <c r="D285" s="5" t="s">
        <v>34</v>
      </c>
      <c r="E285" s="5" t="s">
        <v>2538</v>
      </c>
      <c r="F285" s="5">
        <f t="shared" si="17"/>
        <v>36</v>
      </c>
      <c r="G285" s="5" t="s">
        <v>19</v>
      </c>
      <c r="H285" s="5" t="s">
        <v>20</v>
      </c>
      <c r="I285" s="5" t="s">
        <v>21</v>
      </c>
      <c r="J285" s="5" t="s">
        <v>21</v>
      </c>
      <c r="K285" s="5">
        <f t="shared" si="18"/>
        <v>3</v>
      </c>
      <c r="L285" s="5">
        <f t="shared" si="19"/>
        <v>3</v>
      </c>
      <c r="M285" s="5" t="str">
        <f t="shared" si="16"/>
        <v/>
      </c>
      <c r="N285" s="5" t="s">
        <v>3127</v>
      </c>
      <c r="O285" s="5"/>
      <c r="P285" s="5" t="s">
        <v>3550</v>
      </c>
      <c r="Q285" s="5" t="s">
        <v>3128</v>
      </c>
    </row>
    <row r="286" spans="1:17">
      <c r="A286" s="9">
        <v>46178</v>
      </c>
      <c r="B286" s="5" t="s">
        <v>1030</v>
      </c>
      <c r="C286" s="5" t="s">
        <v>3408</v>
      </c>
      <c r="D286" s="5" t="s">
        <v>1061</v>
      </c>
      <c r="E286" s="5" t="s">
        <v>2539</v>
      </c>
      <c r="F286" s="5">
        <f t="shared" si="17"/>
        <v>23</v>
      </c>
      <c r="G286" s="5" t="s">
        <v>981</v>
      </c>
      <c r="H286" s="5" t="s">
        <v>20</v>
      </c>
      <c r="I286" s="5" t="s">
        <v>604</v>
      </c>
      <c r="J286" s="5" t="s">
        <v>21</v>
      </c>
      <c r="K286" s="5">
        <f t="shared" si="18"/>
        <v>1</v>
      </c>
      <c r="L286" s="5">
        <f t="shared" si="19"/>
        <v>3</v>
      </c>
      <c r="M286" s="5" t="str">
        <f t="shared" si="16"/>
        <v>YES</v>
      </c>
      <c r="N286" s="5" t="s">
        <v>3129</v>
      </c>
      <c r="O286" s="5" t="s">
        <v>3130</v>
      </c>
      <c r="P286" s="5" t="s">
        <v>3131</v>
      </c>
      <c r="Q286" s="5" t="s">
        <v>3132</v>
      </c>
    </row>
    <row r="287" spans="1:17">
      <c r="A287" s="9">
        <v>46178</v>
      </c>
      <c r="B287" s="5" t="s">
        <v>15</v>
      </c>
      <c r="C287" s="5" t="s">
        <v>16</v>
      </c>
      <c r="D287" s="5" t="s">
        <v>663</v>
      </c>
      <c r="E287" s="5" t="s">
        <v>2540</v>
      </c>
      <c r="F287" s="5">
        <f t="shared" si="17"/>
        <v>25</v>
      </c>
      <c r="G287" s="5" t="s">
        <v>107</v>
      </c>
      <c r="H287" s="5" t="s">
        <v>20</v>
      </c>
      <c r="I287" s="5" t="s">
        <v>21</v>
      </c>
      <c r="J287" s="5" t="s">
        <v>21</v>
      </c>
      <c r="K287" s="5">
        <f t="shared" si="18"/>
        <v>3</v>
      </c>
      <c r="L287" s="5">
        <f t="shared" si="19"/>
        <v>3</v>
      </c>
      <c r="M287" s="5" t="str">
        <f t="shared" si="16"/>
        <v/>
      </c>
      <c r="N287" s="5" t="s">
        <v>1174</v>
      </c>
      <c r="O287" s="5" t="s">
        <v>3026</v>
      </c>
      <c r="P287" s="5" t="s">
        <v>3133</v>
      </c>
      <c r="Q287" s="5"/>
    </row>
    <row r="288" spans="1:17">
      <c r="A288" s="9">
        <v>46178</v>
      </c>
      <c r="B288" s="5" t="s">
        <v>81</v>
      </c>
      <c r="C288" s="5" t="s">
        <v>50</v>
      </c>
      <c r="D288" s="5" t="s">
        <v>3390</v>
      </c>
      <c r="E288" s="5" t="s">
        <v>2409</v>
      </c>
      <c r="F288" s="5">
        <f t="shared" si="17"/>
        <v>32</v>
      </c>
      <c r="G288" s="5" t="s">
        <v>19</v>
      </c>
      <c r="H288" s="5" t="s">
        <v>20</v>
      </c>
      <c r="I288" s="5" t="s">
        <v>28</v>
      </c>
      <c r="J288" s="5" t="s">
        <v>28</v>
      </c>
      <c r="K288" s="5">
        <f t="shared" si="18"/>
        <v>4</v>
      </c>
      <c r="L288" s="5">
        <f t="shared" si="19"/>
        <v>4</v>
      </c>
      <c r="M288" s="5" t="str">
        <f t="shared" si="16"/>
        <v/>
      </c>
      <c r="N288" s="5" t="s">
        <v>3134</v>
      </c>
      <c r="O288" s="5" t="s">
        <v>1177</v>
      </c>
      <c r="P288" s="5"/>
      <c r="Q288" s="5"/>
    </row>
    <row r="289" spans="1:17">
      <c r="A289" s="9">
        <v>46178</v>
      </c>
      <c r="B289" s="5" t="s">
        <v>25</v>
      </c>
      <c r="C289" s="5" t="s">
        <v>3380</v>
      </c>
      <c r="D289" s="5" t="s">
        <v>25</v>
      </c>
      <c r="E289" s="5" t="s">
        <v>2541</v>
      </c>
      <c r="F289" s="5">
        <f t="shared" si="17"/>
        <v>59</v>
      </c>
      <c r="G289" s="5" t="s">
        <v>19</v>
      </c>
      <c r="H289" s="5" t="s">
        <v>45</v>
      </c>
      <c r="I289" s="5" t="s">
        <v>28</v>
      </c>
      <c r="J289" s="5" t="s">
        <v>28</v>
      </c>
      <c r="K289" s="5">
        <f t="shared" si="18"/>
        <v>4</v>
      </c>
      <c r="L289" s="5">
        <f t="shared" si="19"/>
        <v>4</v>
      </c>
      <c r="M289" s="5" t="str">
        <f t="shared" si="16"/>
        <v/>
      </c>
      <c r="N289" s="5" t="s">
        <v>1179</v>
      </c>
      <c r="O289" s="5" t="s">
        <v>1177</v>
      </c>
      <c r="P289" s="5"/>
      <c r="Q289" s="5" t="s">
        <v>3551</v>
      </c>
    </row>
    <row r="290" spans="1:17">
      <c r="A290" s="9">
        <v>46178</v>
      </c>
      <c r="B290" s="5" t="s">
        <v>150</v>
      </c>
      <c r="C290" s="5" t="s">
        <v>3389</v>
      </c>
      <c r="D290" s="5" t="s">
        <v>150</v>
      </c>
      <c r="E290" s="5" t="s">
        <v>2542</v>
      </c>
      <c r="F290" s="5">
        <f t="shared" si="17"/>
        <v>24</v>
      </c>
      <c r="G290" s="5" t="s">
        <v>19</v>
      </c>
      <c r="H290" s="5" t="s">
        <v>45</v>
      </c>
      <c r="I290" s="5" t="s">
        <v>21</v>
      </c>
      <c r="J290" s="5" t="s">
        <v>21</v>
      </c>
      <c r="K290" s="5">
        <f t="shared" si="18"/>
        <v>3</v>
      </c>
      <c r="L290" s="5">
        <f t="shared" si="19"/>
        <v>3</v>
      </c>
      <c r="M290" s="5" t="str">
        <f t="shared" si="16"/>
        <v/>
      </c>
      <c r="N290" s="5" t="s">
        <v>1182</v>
      </c>
      <c r="O290" s="5"/>
      <c r="P290" s="5"/>
      <c r="Q290" s="5"/>
    </row>
    <row r="291" spans="1:17">
      <c r="A291" s="9">
        <v>46178</v>
      </c>
      <c r="B291" s="5" t="s">
        <v>15</v>
      </c>
      <c r="C291" s="5" t="s">
        <v>16</v>
      </c>
      <c r="D291" s="5" t="s">
        <v>1064</v>
      </c>
      <c r="E291" s="5" t="s">
        <v>2543</v>
      </c>
      <c r="F291" s="5">
        <f t="shared" si="17"/>
        <v>25</v>
      </c>
      <c r="G291" s="5" t="s">
        <v>107</v>
      </c>
      <c r="H291" s="5" t="s">
        <v>45</v>
      </c>
      <c r="I291" s="5" t="s">
        <v>28</v>
      </c>
      <c r="J291" s="5" t="s">
        <v>21</v>
      </c>
      <c r="K291" s="5">
        <f t="shared" si="18"/>
        <v>4</v>
      </c>
      <c r="L291" s="5">
        <f t="shared" si="19"/>
        <v>3</v>
      </c>
      <c r="M291" s="5" t="str">
        <f t="shared" si="16"/>
        <v/>
      </c>
      <c r="N291" s="5" t="s">
        <v>3135</v>
      </c>
      <c r="O291" s="5" t="s">
        <v>3136</v>
      </c>
      <c r="P291" s="5" t="s">
        <v>3137</v>
      </c>
      <c r="Q291" s="5" t="s">
        <v>3138</v>
      </c>
    </row>
    <row r="292" spans="1:17">
      <c r="A292" s="9">
        <v>46178</v>
      </c>
      <c r="B292" s="5" t="s">
        <v>150</v>
      </c>
      <c r="C292" s="5" t="s">
        <v>3389</v>
      </c>
      <c r="D292" s="5" t="s">
        <v>150</v>
      </c>
      <c r="E292" s="5" t="s">
        <v>2544</v>
      </c>
      <c r="F292" s="5">
        <f t="shared" si="17"/>
        <v>35</v>
      </c>
      <c r="G292" s="5" t="s">
        <v>19</v>
      </c>
      <c r="H292" s="5" t="s">
        <v>45</v>
      </c>
      <c r="I292" s="5" t="s">
        <v>28</v>
      </c>
      <c r="J292" s="5" t="s">
        <v>28</v>
      </c>
      <c r="K292" s="5">
        <f t="shared" si="18"/>
        <v>4</v>
      </c>
      <c r="L292" s="5">
        <f t="shared" si="19"/>
        <v>4</v>
      </c>
      <c r="M292" s="5" t="str">
        <f t="shared" si="16"/>
        <v/>
      </c>
      <c r="N292" s="5" t="s">
        <v>1189</v>
      </c>
      <c r="O292" s="5" t="s">
        <v>1190</v>
      </c>
      <c r="P292" s="5" t="s">
        <v>1191</v>
      </c>
      <c r="Q292" s="5" t="s">
        <v>1192</v>
      </c>
    </row>
    <row r="293" spans="1:17">
      <c r="A293" s="9">
        <v>46178</v>
      </c>
      <c r="B293" s="5" t="s">
        <v>1073</v>
      </c>
      <c r="C293" s="5" t="s">
        <v>3409</v>
      </c>
      <c r="D293" s="5" t="s">
        <v>1075</v>
      </c>
      <c r="E293" s="5" t="s">
        <v>3410</v>
      </c>
      <c r="F293" s="5">
        <f t="shared" si="17"/>
        <v>28</v>
      </c>
      <c r="G293" s="5" t="s">
        <v>981</v>
      </c>
      <c r="H293" s="5" t="s">
        <v>20</v>
      </c>
      <c r="I293" s="5" t="s">
        <v>186</v>
      </c>
      <c r="J293" s="5" t="s">
        <v>21</v>
      </c>
      <c r="K293" s="5">
        <f t="shared" si="18"/>
        <v>2</v>
      </c>
      <c r="L293" s="5">
        <f t="shared" si="19"/>
        <v>3</v>
      </c>
      <c r="M293" s="5" t="str">
        <f t="shared" si="16"/>
        <v>YES</v>
      </c>
      <c r="N293" s="5" t="s">
        <v>1194</v>
      </c>
      <c r="O293" s="5" t="s">
        <v>1195</v>
      </c>
      <c r="P293" s="5" t="s">
        <v>1196</v>
      </c>
      <c r="Q293" s="5" t="s">
        <v>1197</v>
      </c>
    </row>
    <row r="294" spans="1:17">
      <c r="A294" s="9">
        <v>46178</v>
      </c>
      <c r="B294" s="5" t="s">
        <v>81</v>
      </c>
      <c r="C294" s="5" t="s">
        <v>82</v>
      </c>
      <c r="D294" s="5" t="s">
        <v>3391</v>
      </c>
      <c r="E294" s="5" t="s">
        <v>2545</v>
      </c>
      <c r="F294" s="5">
        <f t="shared" si="17"/>
        <v>22</v>
      </c>
      <c r="G294" s="5" t="s">
        <v>19</v>
      </c>
      <c r="H294" s="5" t="s">
        <v>20</v>
      </c>
      <c r="I294" s="5" t="s">
        <v>28</v>
      </c>
      <c r="J294" s="5" t="s">
        <v>28</v>
      </c>
      <c r="K294" s="5">
        <f t="shared" si="18"/>
        <v>4</v>
      </c>
      <c r="L294" s="5">
        <f t="shared" si="19"/>
        <v>4</v>
      </c>
      <c r="M294" s="5" t="str">
        <f t="shared" si="16"/>
        <v/>
      </c>
      <c r="N294" s="5" t="s">
        <v>1199</v>
      </c>
      <c r="O294" s="5" t="s">
        <v>3139</v>
      </c>
      <c r="P294" s="5" t="s">
        <v>1201</v>
      </c>
      <c r="Q294" s="5"/>
    </row>
    <row r="295" spans="1:17">
      <c r="A295" s="9">
        <v>46178</v>
      </c>
      <c r="B295" s="5" t="s">
        <v>25</v>
      </c>
      <c r="C295" s="5" t="s">
        <v>3380</v>
      </c>
      <c r="D295" s="5" t="s">
        <v>25</v>
      </c>
      <c r="E295" s="5" t="s">
        <v>3140</v>
      </c>
      <c r="F295" s="5">
        <f t="shared" si="17"/>
        <v>40</v>
      </c>
      <c r="G295" s="5" t="s">
        <v>19</v>
      </c>
      <c r="H295" s="5" t="s">
        <v>45</v>
      </c>
      <c r="I295" s="5" t="s">
        <v>28</v>
      </c>
      <c r="J295" s="5" t="s">
        <v>28</v>
      </c>
      <c r="K295" s="5">
        <f t="shared" si="18"/>
        <v>4</v>
      </c>
      <c r="L295" s="5">
        <f t="shared" si="19"/>
        <v>4</v>
      </c>
      <c r="M295" s="5" t="str">
        <f t="shared" si="16"/>
        <v/>
      </c>
      <c r="N295" s="5" t="s">
        <v>1203</v>
      </c>
      <c r="O295" s="5" t="s">
        <v>1204</v>
      </c>
      <c r="P295" s="5" t="s">
        <v>1205</v>
      </c>
      <c r="Q295" s="5" t="s">
        <v>2761</v>
      </c>
    </row>
    <row r="296" spans="1:17">
      <c r="A296" s="9">
        <v>46178</v>
      </c>
      <c r="B296" s="5" t="s">
        <v>1073</v>
      </c>
      <c r="C296" s="5" t="s">
        <v>3409</v>
      </c>
      <c r="D296" s="5" t="s">
        <v>1075</v>
      </c>
      <c r="E296" s="5" t="s">
        <v>2546</v>
      </c>
      <c r="F296" s="5">
        <f t="shared" si="17"/>
        <v>17</v>
      </c>
      <c r="G296" s="5" t="s">
        <v>981</v>
      </c>
      <c r="H296" s="5" t="s">
        <v>20</v>
      </c>
      <c r="I296" s="5" t="s">
        <v>21</v>
      </c>
      <c r="J296" s="5" t="s">
        <v>21</v>
      </c>
      <c r="K296" s="5">
        <f t="shared" si="18"/>
        <v>3</v>
      </c>
      <c r="L296" s="5">
        <f t="shared" si="19"/>
        <v>3</v>
      </c>
      <c r="M296" s="5" t="str">
        <f t="shared" si="16"/>
        <v/>
      </c>
      <c r="N296" s="5" t="s">
        <v>1207</v>
      </c>
      <c r="O296" s="5" t="s">
        <v>1208</v>
      </c>
      <c r="P296" s="5" t="s">
        <v>1209</v>
      </c>
      <c r="Q296" s="5"/>
    </row>
    <row r="297" spans="1:17">
      <c r="A297" s="9">
        <v>46178</v>
      </c>
      <c r="B297" s="5" t="s">
        <v>15</v>
      </c>
      <c r="C297" s="5" t="s">
        <v>33</v>
      </c>
      <c r="D297" s="5" t="s">
        <v>62</v>
      </c>
      <c r="E297" s="5" t="s">
        <v>2547</v>
      </c>
      <c r="F297" s="5">
        <f t="shared" si="17"/>
        <v>29</v>
      </c>
      <c r="G297" s="5" t="s">
        <v>19</v>
      </c>
      <c r="H297" s="5" t="s">
        <v>20</v>
      </c>
      <c r="I297" s="5" t="s">
        <v>28</v>
      </c>
      <c r="J297" s="5" t="s">
        <v>28</v>
      </c>
      <c r="K297" s="5">
        <f t="shared" si="18"/>
        <v>4</v>
      </c>
      <c r="L297" s="5">
        <f t="shared" si="19"/>
        <v>4</v>
      </c>
      <c r="M297" s="5" t="str">
        <f t="shared" si="16"/>
        <v/>
      </c>
      <c r="N297" s="5" t="s">
        <v>646</v>
      </c>
      <c r="O297" s="5" t="s">
        <v>1211</v>
      </c>
      <c r="P297" s="5"/>
      <c r="Q297" s="5"/>
    </row>
    <row r="298" spans="1:17">
      <c r="A298" s="9">
        <v>46178</v>
      </c>
      <c r="B298" s="5" t="s">
        <v>150</v>
      </c>
      <c r="C298" s="5" t="s">
        <v>3389</v>
      </c>
      <c r="D298" s="5" t="s">
        <v>150</v>
      </c>
      <c r="E298" s="5" t="s">
        <v>3141</v>
      </c>
      <c r="F298" s="5">
        <f t="shared" si="17"/>
        <v>43</v>
      </c>
      <c r="G298" s="5" t="s">
        <v>19</v>
      </c>
      <c r="H298" s="5" t="s">
        <v>45</v>
      </c>
      <c r="I298" s="5" t="s">
        <v>28</v>
      </c>
      <c r="J298" s="5" t="s">
        <v>28</v>
      </c>
      <c r="K298" s="5">
        <f t="shared" si="18"/>
        <v>4</v>
      </c>
      <c r="L298" s="5">
        <f t="shared" si="19"/>
        <v>4</v>
      </c>
      <c r="M298" s="5" t="str">
        <f t="shared" si="16"/>
        <v/>
      </c>
      <c r="N298" s="5" t="s">
        <v>3142</v>
      </c>
      <c r="O298" s="5"/>
      <c r="P298" s="5"/>
      <c r="Q298" s="5"/>
    </row>
    <row r="299" spans="1:17">
      <c r="A299" s="9">
        <v>46178</v>
      </c>
      <c r="B299" s="5" t="s">
        <v>1030</v>
      </c>
      <c r="C299" s="5" t="s">
        <v>3408</v>
      </c>
      <c r="D299" s="5" t="s">
        <v>1061</v>
      </c>
      <c r="E299" s="5" t="s">
        <v>2548</v>
      </c>
      <c r="F299" s="5">
        <f t="shared" si="17"/>
        <v>21</v>
      </c>
      <c r="G299" s="5" t="s">
        <v>981</v>
      </c>
      <c r="H299" s="5" t="s">
        <v>45</v>
      </c>
      <c r="I299" s="5" t="s">
        <v>21</v>
      </c>
      <c r="J299" s="5" t="s">
        <v>21</v>
      </c>
      <c r="K299" s="5">
        <f t="shared" si="18"/>
        <v>3</v>
      </c>
      <c r="L299" s="5">
        <f t="shared" si="19"/>
        <v>3</v>
      </c>
      <c r="M299" s="5" t="str">
        <f t="shared" si="16"/>
        <v/>
      </c>
      <c r="N299" s="5" t="s">
        <v>1215</v>
      </c>
      <c r="O299" s="5" t="s">
        <v>1046</v>
      </c>
      <c r="P299" s="5" t="s">
        <v>1216</v>
      </c>
      <c r="Q299" s="5"/>
    </row>
    <row r="300" spans="1:17">
      <c r="A300" s="9">
        <v>46178</v>
      </c>
      <c r="B300" s="5" t="s">
        <v>81</v>
      </c>
      <c r="C300" s="5" t="s">
        <v>50</v>
      </c>
      <c r="D300" s="5" t="s">
        <v>3404</v>
      </c>
      <c r="E300" s="5" t="s">
        <v>2793</v>
      </c>
      <c r="F300" s="5">
        <f t="shared" si="17"/>
        <v>26</v>
      </c>
      <c r="G300" s="5" t="s">
        <v>19</v>
      </c>
      <c r="H300" s="5" t="s">
        <v>45</v>
      </c>
      <c r="I300" s="5" t="s">
        <v>21</v>
      </c>
      <c r="J300" s="5" t="s">
        <v>21</v>
      </c>
      <c r="K300" s="5">
        <f t="shared" si="18"/>
        <v>3</v>
      </c>
      <c r="L300" s="5">
        <f t="shared" si="19"/>
        <v>3</v>
      </c>
      <c r="M300" s="5" t="str">
        <f t="shared" si="16"/>
        <v/>
      </c>
      <c r="N300" s="5" t="s">
        <v>1218</v>
      </c>
      <c r="O300" s="5"/>
      <c r="P300" s="5"/>
      <c r="Q300" s="5"/>
    </row>
    <row r="301" spans="1:17">
      <c r="A301" s="9">
        <v>46178</v>
      </c>
      <c r="B301" s="5" t="s">
        <v>81</v>
      </c>
      <c r="C301" s="5" t="s">
        <v>82</v>
      </c>
      <c r="D301" s="5" t="s">
        <v>95</v>
      </c>
      <c r="E301" s="5" t="s">
        <v>2549</v>
      </c>
      <c r="F301" s="5">
        <f t="shared" si="17"/>
        <v>21</v>
      </c>
      <c r="G301" s="5" t="s">
        <v>19</v>
      </c>
      <c r="H301" s="5" t="s">
        <v>20</v>
      </c>
      <c r="I301" s="5" t="s">
        <v>28</v>
      </c>
      <c r="J301" s="5" t="s">
        <v>28</v>
      </c>
      <c r="K301" s="5">
        <f t="shared" si="18"/>
        <v>4</v>
      </c>
      <c r="L301" s="5">
        <f t="shared" si="19"/>
        <v>4</v>
      </c>
      <c r="M301" s="5" t="str">
        <f t="shared" si="16"/>
        <v/>
      </c>
      <c r="N301" s="5" t="s">
        <v>1220</v>
      </c>
      <c r="O301" s="5" t="s">
        <v>1221</v>
      </c>
      <c r="P301" s="5" t="s">
        <v>1222</v>
      </c>
      <c r="Q301" s="5" t="s">
        <v>1223</v>
      </c>
    </row>
    <row r="302" spans="1:17">
      <c r="A302" s="9">
        <v>46178</v>
      </c>
      <c r="B302" s="5" t="s">
        <v>81</v>
      </c>
      <c r="C302" s="5" t="s">
        <v>50</v>
      </c>
      <c r="D302" s="5" t="s">
        <v>3390</v>
      </c>
      <c r="E302" s="5" t="s">
        <v>2550</v>
      </c>
      <c r="F302" s="5">
        <f t="shared" si="17"/>
        <v>42</v>
      </c>
      <c r="G302" s="5" t="s">
        <v>19</v>
      </c>
      <c r="H302" s="5" t="s">
        <v>20</v>
      </c>
      <c r="I302" s="5" t="s">
        <v>21</v>
      </c>
      <c r="J302" s="5" t="s">
        <v>21</v>
      </c>
      <c r="K302" s="5">
        <f t="shared" si="18"/>
        <v>3</v>
      </c>
      <c r="L302" s="5">
        <f t="shared" si="19"/>
        <v>3</v>
      </c>
      <c r="M302" s="5" t="str">
        <f t="shared" si="16"/>
        <v/>
      </c>
      <c r="N302" s="5" t="s">
        <v>3143</v>
      </c>
      <c r="O302" s="5" t="s">
        <v>1226</v>
      </c>
      <c r="P302" s="5"/>
      <c r="Q302" s="5"/>
    </row>
    <row r="303" spans="1:17">
      <c r="A303" s="9">
        <v>46178</v>
      </c>
      <c r="B303" s="5" t="s">
        <v>15</v>
      </c>
      <c r="C303" s="5" t="s">
        <v>16</v>
      </c>
      <c r="D303" s="5" t="s">
        <v>177</v>
      </c>
      <c r="E303" s="5" t="s">
        <v>2551</v>
      </c>
      <c r="F303" s="5">
        <f t="shared" si="17"/>
        <v>30</v>
      </c>
      <c r="G303" s="5" t="s">
        <v>19</v>
      </c>
      <c r="H303" s="5" t="s">
        <v>20</v>
      </c>
      <c r="I303" s="5" t="s">
        <v>21</v>
      </c>
      <c r="J303" s="5" t="s">
        <v>21</v>
      </c>
      <c r="K303" s="5">
        <f t="shared" si="18"/>
        <v>3</v>
      </c>
      <c r="L303" s="5">
        <f t="shared" si="19"/>
        <v>3</v>
      </c>
      <c r="M303" s="5" t="str">
        <f t="shared" si="16"/>
        <v/>
      </c>
      <c r="N303" s="5" t="s">
        <v>3552</v>
      </c>
      <c r="O303" s="5"/>
      <c r="P303" s="5"/>
      <c r="Q303" s="5"/>
    </row>
    <row r="304" spans="1:17">
      <c r="A304" s="9">
        <v>46178</v>
      </c>
      <c r="B304" s="5" t="s">
        <v>1030</v>
      </c>
      <c r="C304" s="5" t="s">
        <v>3408</v>
      </c>
      <c r="D304" s="5" t="s">
        <v>1061</v>
      </c>
      <c r="E304" s="5" t="s">
        <v>2552</v>
      </c>
      <c r="F304" s="5">
        <f t="shared" si="17"/>
        <v>28</v>
      </c>
      <c r="G304" s="5" t="s">
        <v>981</v>
      </c>
      <c r="H304" s="5" t="s">
        <v>20</v>
      </c>
      <c r="I304" s="5" t="s">
        <v>21</v>
      </c>
      <c r="J304" s="5" t="s">
        <v>21</v>
      </c>
      <c r="K304" s="5">
        <f t="shared" si="18"/>
        <v>3</v>
      </c>
      <c r="L304" s="5">
        <f t="shared" si="19"/>
        <v>3</v>
      </c>
      <c r="M304" s="5" t="str">
        <f t="shared" si="16"/>
        <v/>
      </c>
      <c r="N304" s="5" t="s">
        <v>280</v>
      </c>
      <c r="O304" s="5" t="s">
        <v>513</v>
      </c>
      <c r="P304" s="5" t="s">
        <v>3144</v>
      </c>
      <c r="Q304" s="5"/>
    </row>
    <row r="305" spans="1:17">
      <c r="A305" s="9">
        <v>46178</v>
      </c>
      <c r="B305" s="5" t="s">
        <v>1030</v>
      </c>
      <c r="C305" s="5" t="s">
        <v>3408</v>
      </c>
      <c r="D305" s="5" t="s">
        <v>1032</v>
      </c>
      <c r="E305" s="5" t="s">
        <v>2553</v>
      </c>
      <c r="F305" s="5">
        <f t="shared" si="17"/>
        <v>24</v>
      </c>
      <c r="G305" s="5" t="s">
        <v>1034</v>
      </c>
      <c r="H305" s="5" t="s">
        <v>20</v>
      </c>
      <c r="I305" s="5" t="s">
        <v>21</v>
      </c>
      <c r="J305" s="5" t="s">
        <v>21</v>
      </c>
      <c r="K305" s="5">
        <f t="shared" si="18"/>
        <v>3</v>
      </c>
      <c r="L305" s="5">
        <f t="shared" si="19"/>
        <v>3</v>
      </c>
      <c r="M305" s="5" t="str">
        <f t="shared" si="16"/>
        <v/>
      </c>
      <c r="N305" s="5" t="s">
        <v>1232</v>
      </c>
      <c r="O305" s="5" t="s">
        <v>3145</v>
      </c>
      <c r="P305" s="5" t="s">
        <v>3146</v>
      </c>
      <c r="Q305" s="4" t="s">
        <v>3623</v>
      </c>
    </row>
    <row r="306" spans="1:17">
      <c r="A306" s="9">
        <v>46178</v>
      </c>
      <c r="B306" s="5" t="s">
        <v>15</v>
      </c>
      <c r="C306" s="5" t="s">
        <v>16</v>
      </c>
      <c r="D306" s="5" t="s">
        <v>105</v>
      </c>
      <c r="E306" s="5" t="s">
        <v>2365</v>
      </c>
      <c r="F306" s="5">
        <f t="shared" si="17"/>
        <v>33</v>
      </c>
      <c r="G306" s="5" t="s">
        <v>107</v>
      </c>
      <c r="H306" s="5" t="s">
        <v>20</v>
      </c>
      <c r="I306" s="5" t="s">
        <v>21</v>
      </c>
      <c r="J306" s="5" t="s">
        <v>21</v>
      </c>
      <c r="K306" s="5">
        <f t="shared" si="18"/>
        <v>3</v>
      </c>
      <c r="L306" s="5">
        <f t="shared" si="19"/>
        <v>3</v>
      </c>
      <c r="M306" s="5" t="str">
        <f t="shared" si="16"/>
        <v/>
      </c>
      <c r="N306" s="5" t="s">
        <v>1236</v>
      </c>
      <c r="O306" s="5" t="s">
        <v>1237</v>
      </c>
      <c r="P306" s="5" t="s">
        <v>3147</v>
      </c>
      <c r="Q306" s="5"/>
    </row>
    <row r="307" spans="1:17">
      <c r="A307" s="9">
        <v>46178</v>
      </c>
      <c r="B307" s="5" t="s">
        <v>1030</v>
      </c>
      <c r="C307" s="5" t="s">
        <v>3408</v>
      </c>
      <c r="D307" s="5" t="s">
        <v>1032</v>
      </c>
      <c r="E307" s="5" t="s">
        <v>2553</v>
      </c>
      <c r="F307" s="5">
        <f t="shared" si="17"/>
        <v>24</v>
      </c>
      <c r="G307" s="5" t="s">
        <v>1034</v>
      </c>
      <c r="H307" s="5" t="s">
        <v>20</v>
      </c>
      <c r="I307" s="5" t="s">
        <v>21</v>
      </c>
      <c r="J307" s="5" t="s">
        <v>21</v>
      </c>
      <c r="K307" s="5">
        <f t="shared" si="18"/>
        <v>3</v>
      </c>
      <c r="L307" s="5">
        <f t="shared" si="19"/>
        <v>3</v>
      </c>
      <c r="M307" s="5" t="str">
        <f t="shared" si="16"/>
        <v/>
      </c>
      <c r="N307" s="5" t="s">
        <v>3148</v>
      </c>
      <c r="O307" s="5" t="s">
        <v>1240</v>
      </c>
      <c r="P307" s="5" t="s">
        <v>3149</v>
      </c>
      <c r="Q307" s="4" t="s">
        <v>3624</v>
      </c>
    </row>
    <row r="308" spans="1:17">
      <c r="A308" s="9">
        <v>46178</v>
      </c>
      <c r="B308" s="5" t="s">
        <v>81</v>
      </c>
      <c r="C308" s="5" t="s">
        <v>82</v>
      </c>
      <c r="D308" s="5" t="s">
        <v>3391</v>
      </c>
      <c r="E308" s="5" t="s">
        <v>2554</v>
      </c>
      <c r="F308" s="5">
        <f t="shared" si="17"/>
        <v>23</v>
      </c>
      <c r="G308" s="5" t="s">
        <v>19</v>
      </c>
      <c r="H308" s="5" t="s">
        <v>20</v>
      </c>
      <c r="I308" s="5" t="s">
        <v>28</v>
      </c>
      <c r="J308" s="5" t="s">
        <v>28</v>
      </c>
      <c r="K308" s="5">
        <f t="shared" si="18"/>
        <v>4</v>
      </c>
      <c r="L308" s="5">
        <f t="shared" si="19"/>
        <v>4</v>
      </c>
      <c r="M308" s="5" t="str">
        <f t="shared" si="16"/>
        <v/>
      </c>
      <c r="N308" s="5" t="s">
        <v>1244</v>
      </c>
      <c r="O308" s="5" t="s">
        <v>1245</v>
      </c>
      <c r="P308" s="5" t="s">
        <v>1246</v>
      </c>
      <c r="Q308" s="5" t="s">
        <v>1247</v>
      </c>
    </row>
    <row r="309" spans="1:17">
      <c r="A309" s="9">
        <v>46178</v>
      </c>
      <c r="B309" s="5" t="s">
        <v>15</v>
      </c>
      <c r="C309" s="5" t="s">
        <v>16</v>
      </c>
      <c r="D309" s="5" t="s">
        <v>1064</v>
      </c>
      <c r="E309" s="5" t="s">
        <v>2555</v>
      </c>
      <c r="F309" s="5">
        <f t="shared" si="17"/>
        <v>23</v>
      </c>
      <c r="G309" s="5" t="s">
        <v>107</v>
      </c>
      <c r="H309" s="5" t="s">
        <v>20</v>
      </c>
      <c r="I309" s="5" t="s">
        <v>21</v>
      </c>
      <c r="J309" s="5" t="s">
        <v>21</v>
      </c>
      <c r="K309" s="5">
        <f t="shared" si="18"/>
        <v>3</v>
      </c>
      <c r="L309" s="5">
        <f t="shared" si="19"/>
        <v>3</v>
      </c>
      <c r="M309" s="5" t="str">
        <f t="shared" si="16"/>
        <v/>
      </c>
      <c r="N309" s="5" t="s">
        <v>3553</v>
      </c>
      <c r="O309" s="5" t="s">
        <v>1250</v>
      </c>
      <c r="P309" s="4" t="s">
        <v>3625</v>
      </c>
      <c r="Q309" s="5"/>
    </row>
    <row r="310" spans="1:17">
      <c r="A310" s="9">
        <v>46178</v>
      </c>
      <c r="B310" s="5" t="s">
        <v>1030</v>
      </c>
      <c r="C310" s="5" t="s">
        <v>3408</v>
      </c>
      <c r="D310" s="5" t="s">
        <v>1061</v>
      </c>
      <c r="E310" s="5" t="s">
        <v>2556</v>
      </c>
      <c r="F310" s="5">
        <f t="shared" si="17"/>
        <v>23</v>
      </c>
      <c r="G310" s="5" t="s">
        <v>1034</v>
      </c>
      <c r="H310" s="5" t="s">
        <v>20</v>
      </c>
      <c r="I310" s="5" t="s">
        <v>21</v>
      </c>
      <c r="J310" s="5" t="s">
        <v>21</v>
      </c>
      <c r="K310" s="5">
        <f t="shared" si="18"/>
        <v>3</v>
      </c>
      <c r="L310" s="5">
        <f t="shared" si="19"/>
        <v>3</v>
      </c>
      <c r="M310" s="5" t="str">
        <f t="shared" si="16"/>
        <v/>
      </c>
      <c r="N310" s="5" t="s">
        <v>1253</v>
      </c>
      <c r="O310" s="5" t="s">
        <v>1254</v>
      </c>
      <c r="P310" s="5" t="s">
        <v>1255</v>
      </c>
      <c r="Q310" s="5"/>
    </row>
    <row r="311" spans="1:17">
      <c r="A311" s="9">
        <v>46178</v>
      </c>
      <c r="B311" s="5" t="s">
        <v>72</v>
      </c>
      <c r="C311" s="5" t="s">
        <v>3384</v>
      </c>
      <c r="D311" s="5" t="s">
        <v>72</v>
      </c>
      <c r="E311" s="5" t="s">
        <v>2557</v>
      </c>
      <c r="F311" s="5">
        <f t="shared" si="17"/>
        <v>22</v>
      </c>
      <c r="G311" s="5" t="s">
        <v>19</v>
      </c>
      <c r="H311" s="5" t="s">
        <v>45</v>
      </c>
      <c r="I311" s="5" t="s">
        <v>28</v>
      </c>
      <c r="J311" s="5" t="s">
        <v>28</v>
      </c>
      <c r="K311" s="5">
        <f t="shared" si="18"/>
        <v>4</v>
      </c>
      <c r="L311" s="5">
        <f t="shared" si="19"/>
        <v>4</v>
      </c>
      <c r="M311" s="5" t="str">
        <f t="shared" si="16"/>
        <v/>
      </c>
      <c r="N311" s="5" t="s">
        <v>1257</v>
      </c>
      <c r="O311" s="5" t="s">
        <v>1258</v>
      </c>
      <c r="P311" s="5" t="s">
        <v>2821</v>
      </c>
      <c r="Q311" s="5"/>
    </row>
    <row r="312" spans="1:17">
      <c r="A312" s="9">
        <v>46178</v>
      </c>
      <c r="B312" s="5" t="s">
        <v>1030</v>
      </c>
      <c r="C312" s="5" t="s">
        <v>3408</v>
      </c>
      <c r="D312" s="5" t="s">
        <v>1032</v>
      </c>
      <c r="E312" s="5" t="s">
        <v>2558</v>
      </c>
      <c r="F312" s="5">
        <f t="shared" si="17"/>
        <v>30</v>
      </c>
      <c r="G312" s="5" t="s">
        <v>1034</v>
      </c>
      <c r="H312" s="5" t="s">
        <v>45</v>
      </c>
      <c r="I312" s="5" t="s">
        <v>21</v>
      </c>
      <c r="J312" s="5" t="s">
        <v>21</v>
      </c>
      <c r="K312" s="5">
        <f t="shared" si="18"/>
        <v>3</v>
      </c>
      <c r="L312" s="5">
        <f t="shared" si="19"/>
        <v>3</v>
      </c>
      <c r="M312" s="5" t="str">
        <f t="shared" si="16"/>
        <v/>
      </c>
      <c r="N312" s="5" t="s">
        <v>1260</v>
      </c>
      <c r="O312" s="5" t="s">
        <v>1261</v>
      </c>
      <c r="P312" s="5" t="s">
        <v>1262</v>
      </c>
      <c r="Q312" s="5" t="s">
        <v>1263</v>
      </c>
    </row>
    <row r="313" spans="1:17">
      <c r="A313" s="9">
        <v>46178</v>
      </c>
      <c r="B313" s="5" t="s">
        <v>81</v>
      </c>
      <c r="C313" s="5" t="s">
        <v>82</v>
      </c>
      <c r="D313" s="5" t="s">
        <v>95</v>
      </c>
      <c r="E313" s="5" t="s">
        <v>2334</v>
      </c>
      <c r="F313" s="5">
        <f t="shared" si="17"/>
        <v>19</v>
      </c>
      <c r="G313" s="5" t="s">
        <v>19</v>
      </c>
      <c r="H313" s="5" t="s">
        <v>20</v>
      </c>
      <c r="I313" s="5" t="s">
        <v>21</v>
      </c>
      <c r="J313" s="5" t="s">
        <v>21</v>
      </c>
      <c r="K313" s="5">
        <f t="shared" si="18"/>
        <v>3</v>
      </c>
      <c r="L313" s="5">
        <f t="shared" si="19"/>
        <v>3</v>
      </c>
      <c r="M313" s="5" t="str">
        <f t="shared" si="16"/>
        <v/>
      </c>
      <c r="N313" s="5" t="s">
        <v>1264</v>
      </c>
      <c r="O313" s="5" t="s">
        <v>202</v>
      </c>
      <c r="P313" s="5" t="s">
        <v>1265</v>
      </c>
      <c r="Q313" s="5"/>
    </row>
    <row r="314" spans="1:17">
      <c r="A314" s="9">
        <v>46178</v>
      </c>
      <c r="B314" s="5" t="s">
        <v>81</v>
      </c>
      <c r="C314" s="5" t="s">
        <v>50</v>
      </c>
      <c r="D314" s="5" t="s">
        <v>3390</v>
      </c>
      <c r="E314" s="5" t="s">
        <v>2559</v>
      </c>
      <c r="F314" s="5">
        <f t="shared" si="17"/>
        <v>19</v>
      </c>
      <c r="G314" s="5" t="s">
        <v>107</v>
      </c>
      <c r="H314" s="5" t="s">
        <v>20</v>
      </c>
      <c r="I314" s="5" t="s">
        <v>28</v>
      </c>
      <c r="J314" s="5" t="s">
        <v>28</v>
      </c>
      <c r="K314" s="5">
        <f t="shared" si="18"/>
        <v>4</v>
      </c>
      <c r="L314" s="5">
        <f t="shared" si="19"/>
        <v>4</v>
      </c>
      <c r="M314" s="5" t="str">
        <f t="shared" si="16"/>
        <v/>
      </c>
      <c r="N314" s="5" t="s">
        <v>3150</v>
      </c>
      <c r="O314" s="5" t="s">
        <v>1268</v>
      </c>
      <c r="P314" s="5" t="s">
        <v>1269</v>
      </c>
      <c r="Q314" s="5" t="s">
        <v>1270</v>
      </c>
    </row>
    <row r="315" spans="1:17">
      <c r="A315" s="9">
        <v>46178</v>
      </c>
      <c r="B315" s="5" t="s">
        <v>1030</v>
      </c>
      <c r="C315" s="5" t="s">
        <v>3408</v>
      </c>
      <c r="D315" s="5" t="s">
        <v>1032</v>
      </c>
      <c r="E315" s="5" t="s">
        <v>2558</v>
      </c>
      <c r="F315" s="5">
        <f t="shared" si="17"/>
        <v>30</v>
      </c>
      <c r="G315" s="5" t="s">
        <v>1034</v>
      </c>
      <c r="H315" s="5" t="s">
        <v>20</v>
      </c>
      <c r="I315" s="5" t="s">
        <v>21</v>
      </c>
      <c r="J315" s="5" t="s">
        <v>186</v>
      </c>
      <c r="K315" s="5">
        <f t="shared" si="18"/>
        <v>3</v>
      </c>
      <c r="L315" s="5">
        <f t="shared" si="19"/>
        <v>2</v>
      </c>
      <c r="M315" s="5" t="str">
        <f t="shared" si="16"/>
        <v/>
      </c>
      <c r="N315" s="5" t="s">
        <v>280</v>
      </c>
      <c r="O315" s="5" t="s">
        <v>1271</v>
      </c>
      <c r="P315" s="5" t="s">
        <v>123</v>
      </c>
      <c r="Q315" s="5" t="s">
        <v>1263</v>
      </c>
    </row>
    <row r="316" spans="1:17">
      <c r="A316" s="9">
        <v>46178</v>
      </c>
      <c r="B316" s="5" t="s">
        <v>81</v>
      </c>
      <c r="C316" s="5" t="s">
        <v>50</v>
      </c>
      <c r="D316" s="5" t="s">
        <v>3390</v>
      </c>
      <c r="E316" s="5" t="s">
        <v>2560</v>
      </c>
      <c r="F316" s="5">
        <f t="shared" si="17"/>
        <v>25</v>
      </c>
      <c r="G316" s="5" t="s">
        <v>19</v>
      </c>
      <c r="H316" s="5" t="s">
        <v>20</v>
      </c>
      <c r="I316" s="5" t="s">
        <v>21</v>
      </c>
      <c r="J316" s="5" t="s">
        <v>28</v>
      </c>
      <c r="K316" s="5">
        <f t="shared" si="18"/>
        <v>3</v>
      </c>
      <c r="L316" s="5">
        <f t="shared" si="19"/>
        <v>4</v>
      </c>
      <c r="M316" s="5" t="str">
        <f t="shared" si="16"/>
        <v/>
      </c>
      <c r="N316" s="5" t="s">
        <v>3151</v>
      </c>
      <c r="O316" s="5" t="s">
        <v>1274</v>
      </c>
      <c r="P316" s="5" t="s">
        <v>1275</v>
      </c>
      <c r="Q316" s="5" t="s">
        <v>1276</v>
      </c>
    </row>
    <row r="317" spans="1:17">
      <c r="A317" s="9">
        <v>46178</v>
      </c>
      <c r="B317" s="5" t="s">
        <v>15</v>
      </c>
      <c r="C317" s="5" t="s">
        <v>16</v>
      </c>
      <c r="D317" s="5" t="s">
        <v>105</v>
      </c>
      <c r="E317" s="5" t="s">
        <v>2561</v>
      </c>
      <c r="F317" s="5">
        <f t="shared" si="17"/>
        <v>23</v>
      </c>
      <c r="G317" s="5" t="s">
        <v>19</v>
      </c>
      <c r="H317" s="5" t="s">
        <v>20</v>
      </c>
      <c r="I317" s="5" t="s">
        <v>21</v>
      </c>
      <c r="J317" s="5" t="s">
        <v>21</v>
      </c>
      <c r="K317" s="5">
        <f t="shared" si="18"/>
        <v>3</v>
      </c>
      <c r="L317" s="5">
        <f t="shared" si="19"/>
        <v>3</v>
      </c>
      <c r="M317" s="5" t="str">
        <f t="shared" si="16"/>
        <v/>
      </c>
      <c r="N317" s="5" t="s">
        <v>1278</v>
      </c>
      <c r="O317" s="5" t="s">
        <v>1279</v>
      </c>
      <c r="P317" s="5" t="s">
        <v>1279</v>
      </c>
      <c r="Q317" s="5"/>
    </row>
    <row r="318" spans="1:17">
      <c r="A318" s="9">
        <v>46178</v>
      </c>
      <c r="B318" s="5" t="s">
        <v>81</v>
      </c>
      <c r="C318" s="5" t="s">
        <v>82</v>
      </c>
      <c r="D318" s="5" t="s">
        <v>95</v>
      </c>
      <c r="E318" s="5" t="s">
        <v>2794</v>
      </c>
      <c r="F318" s="5">
        <f t="shared" si="17"/>
        <v>46</v>
      </c>
      <c r="G318" s="5" t="s">
        <v>19</v>
      </c>
      <c r="H318" s="5" t="s">
        <v>20</v>
      </c>
      <c r="I318" s="5" t="s">
        <v>21</v>
      </c>
      <c r="J318" s="5" t="s">
        <v>21</v>
      </c>
      <c r="K318" s="5">
        <f t="shared" si="18"/>
        <v>3</v>
      </c>
      <c r="L318" s="5">
        <f t="shared" si="19"/>
        <v>3</v>
      </c>
      <c r="M318" s="5" t="str">
        <f t="shared" si="16"/>
        <v/>
      </c>
      <c r="N318" s="5" t="s">
        <v>1281</v>
      </c>
      <c r="O318" s="5"/>
      <c r="P318" s="5" t="s">
        <v>1283</v>
      </c>
      <c r="Q318" s="5"/>
    </row>
    <row r="319" spans="1:17">
      <c r="A319" s="9">
        <v>46178</v>
      </c>
      <c r="B319" s="5" t="s">
        <v>81</v>
      </c>
      <c r="C319" s="5" t="s">
        <v>50</v>
      </c>
      <c r="D319" s="5" t="s">
        <v>3381</v>
      </c>
      <c r="E319" s="5" t="s">
        <v>2562</v>
      </c>
      <c r="F319" s="5">
        <f t="shared" si="17"/>
        <v>27</v>
      </c>
      <c r="G319" s="5" t="s">
        <v>19</v>
      </c>
      <c r="H319" s="5" t="s">
        <v>20</v>
      </c>
      <c r="I319" s="5" t="s">
        <v>28</v>
      </c>
      <c r="J319" s="5" t="s">
        <v>28</v>
      </c>
      <c r="K319" s="5">
        <f t="shared" si="18"/>
        <v>4</v>
      </c>
      <c r="L319" s="5">
        <f t="shared" si="19"/>
        <v>4</v>
      </c>
      <c r="M319" s="5" t="str">
        <f t="shared" si="16"/>
        <v/>
      </c>
      <c r="N319" s="5" t="s">
        <v>3152</v>
      </c>
      <c r="O319" s="5" t="s">
        <v>1286</v>
      </c>
      <c r="P319" s="5"/>
      <c r="Q319" s="5" t="s">
        <v>123</v>
      </c>
    </row>
    <row r="320" spans="1:17">
      <c r="A320" s="9">
        <v>46178</v>
      </c>
      <c r="B320" s="5" t="s">
        <v>81</v>
      </c>
      <c r="C320" s="5" t="s">
        <v>50</v>
      </c>
      <c r="D320" s="5" t="s">
        <v>3390</v>
      </c>
      <c r="E320" s="5" t="s">
        <v>3153</v>
      </c>
      <c r="F320" s="5">
        <f t="shared" si="17"/>
        <v>47</v>
      </c>
      <c r="G320" s="5" t="s">
        <v>19</v>
      </c>
      <c r="H320" s="5" t="s">
        <v>20</v>
      </c>
      <c r="I320" s="5" t="s">
        <v>21</v>
      </c>
      <c r="J320" s="5" t="s">
        <v>21</v>
      </c>
      <c r="K320" s="5">
        <f t="shared" si="18"/>
        <v>3</v>
      </c>
      <c r="L320" s="5">
        <f t="shared" si="19"/>
        <v>3</v>
      </c>
      <c r="M320" s="5" t="str">
        <f t="shared" si="16"/>
        <v/>
      </c>
      <c r="N320" s="5" t="s">
        <v>3154</v>
      </c>
      <c r="O320" s="5" t="s">
        <v>1290</v>
      </c>
      <c r="P320" s="5" t="s">
        <v>3155</v>
      </c>
      <c r="Q320" s="5"/>
    </row>
    <row r="321" spans="1:17">
      <c r="A321" s="9">
        <v>46178</v>
      </c>
      <c r="B321" s="5" t="s">
        <v>81</v>
      </c>
      <c r="C321" s="5" t="s">
        <v>50</v>
      </c>
      <c r="D321" s="5" t="s">
        <v>3390</v>
      </c>
      <c r="E321" s="5" t="s">
        <v>2563</v>
      </c>
      <c r="F321" s="5">
        <f t="shared" si="17"/>
        <v>52</v>
      </c>
      <c r="G321" s="5" t="s">
        <v>19</v>
      </c>
      <c r="H321" s="5" t="s">
        <v>20</v>
      </c>
      <c r="I321" s="5" t="s">
        <v>21</v>
      </c>
      <c r="J321" s="5" t="s">
        <v>21</v>
      </c>
      <c r="K321" s="5">
        <f t="shared" si="18"/>
        <v>3</v>
      </c>
      <c r="L321" s="5">
        <f t="shared" si="19"/>
        <v>3</v>
      </c>
      <c r="M321" s="5" t="str">
        <f t="shared" si="16"/>
        <v/>
      </c>
      <c r="N321" s="5" t="s">
        <v>1293</v>
      </c>
      <c r="O321" s="5" t="s">
        <v>1294</v>
      </c>
      <c r="P321" s="5" t="s">
        <v>1295</v>
      </c>
      <c r="Q321" s="5"/>
    </row>
    <row r="322" spans="1:17">
      <c r="A322" s="9">
        <v>46178</v>
      </c>
      <c r="B322" s="5" t="s">
        <v>150</v>
      </c>
      <c r="C322" s="5" t="s">
        <v>3389</v>
      </c>
      <c r="D322" s="5" t="s">
        <v>150</v>
      </c>
      <c r="E322" s="5" t="s">
        <v>2564</v>
      </c>
      <c r="F322" s="5">
        <f t="shared" si="17"/>
        <v>36</v>
      </c>
      <c r="G322" s="5" t="s">
        <v>19</v>
      </c>
      <c r="H322" s="5" t="s">
        <v>45</v>
      </c>
      <c r="I322" s="5" t="s">
        <v>21</v>
      </c>
      <c r="J322" s="5" t="s">
        <v>21</v>
      </c>
      <c r="K322" s="5">
        <f t="shared" si="18"/>
        <v>3</v>
      </c>
      <c r="L322" s="5">
        <f t="shared" si="19"/>
        <v>3</v>
      </c>
      <c r="M322" s="5" t="str">
        <f t="shared" ref="M322:M385" si="20">IF(OR(I322="Poor",I322="Very Poor"),"YES","")</f>
        <v/>
      </c>
      <c r="N322" s="5" t="s">
        <v>1297</v>
      </c>
      <c r="O322" s="5" t="s">
        <v>1298</v>
      </c>
      <c r="P322" s="5"/>
      <c r="Q322" s="5"/>
    </row>
    <row r="323" spans="1:17">
      <c r="A323" s="9">
        <v>46178</v>
      </c>
      <c r="B323" s="5" t="s">
        <v>15</v>
      </c>
      <c r="C323" s="5" t="s">
        <v>39</v>
      </c>
      <c r="D323" s="5" t="s">
        <v>15</v>
      </c>
      <c r="E323" s="5" t="s">
        <v>3156</v>
      </c>
      <c r="F323" s="5">
        <f t="shared" ref="F323:F386" si="21">LEN(E323)</f>
        <v>34</v>
      </c>
      <c r="G323" s="5" t="s">
        <v>107</v>
      </c>
      <c r="H323" s="5" t="s">
        <v>20</v>
      </c>
      <c r="I323" s="5" t="s">
        <v>28</v>
      </c>
      <c r="J323" s="5" t="s">
        <v>28</v>
      </c>
      <c r="K323" s="5">
        <f t="shared" ref="K323:K386" si="22">IF(I323="Very Good",4,IF(I323="Good",3,IF(I323="Poor",2,IF(I323="Very Poor",1,""))))</f>
        <v>4</v>
      </c>
      <c r="L323" s="5">
        <f t="shared" ref="L323:L386" si="23">IF(J323="Very Good",4,IF(J323="Good",3,IF(J323="Poor",2,IF(J323="Very Poor",1,""))))</f>
        <v>4</v>
      </c>
      <c r="M323" s="5" t="str">
        <f t="shared" si="20"/>
        <v/>
      </c>
      <c r="N323" s="5" t="s">
        <v>1300</v>
      </c>
      <c r="O323" s="5" t="s">
        <v>1301</v>
      </c>
      <c r="P323" s="5" t="s">
        <v>1302</v>
      </c>
      <c r="Q323" s="5"/>
    </row>
    <row r="324" spans="1:17">
      <c r="A324" s="9">
        <v>46178</v>
      </c>
      <c r="B324" s="5" t="s">
        <v>1030</v>
      </c>
      <c r="C324" s="5" t="s">
        <v>3408</v>
      </c>
      <c r="D324" s="5" t="s">
        <v>1032</v>
      </c>
      <c r="E324" s="5" t="s">
        <v>2524</v>
      </c>
      <c r="F324" s="5">
        <f t="shared" si="21"/>
        <v>20</v>
      </c>
      <c r="G324" s="5" t="s">
        <v>1034</v>
      </c>
      <c r="H324" s="5" t="s">
        <v>20</v>
      </c>
      <c r="I324" s="5" t="s">
        <v>21</v>
      </c>
      <c r="J324" s="5" t="s">
        <v>21</v>
      </c>
      <c r="K324" s="5">
        <f t="shared" si="22"/>
        <v>3</v>
      </c>
      <c r="L324" s="5">
        <f t="shared" si="23"/>
        <v>3</v>
      </c>
      <c r="M324" s="5" t="str">
        <f t="shared" si="20"/>
        <v/>
      </c>
      <c r="N324" s="5" t="s">
        <v>3157</v>
      </c>
      <c r="O324" s="5" t="s">
        <v>3554</v>
      </c>
      <c r="P324" s="5" t="s">
        <v>1305</v>
      </c>
      <c r="Q324" s="5" t="s">
        <v>3555</v>
      </c>
    </row>
    <row r="325" spans="1:17">
      <c r="A325" s="9">
        <v>46178</v>
      </c>
      <c r="B325" s="5" t="s">
        <v>81</v>
      </c>
      <c r="C325" s="5" t="s">
        <v>50</v>
      </c>
      <c r="D325" s="5" t="s">
        <v>3390</v>
      </c>
      <c r="E325" s="5" t="s">
        <v>2565</v>
      </c>
      <c r="F325" s="5">
        <f t="shared" si="21"/>
        <v>11</v>
      </c>
      <c r="G325" s="5" t="s">
        <v>107</v>
      </c>
      <c r="H325" s="5" t="s">
        <v>20</v>
      </c>
      <c r="I325" s="5" t="s">
        <v>21</v>
      </c>
      <c r="J325" s="5" t="s">
        <v>21</v>
      </c>
      <c r="K325" s="5">
        <f t="shared" si="22"/>
        <v>3</v>
      </c>
      <c r="L325" s="5">
        <f t="shared" si="23"/>
        <v>3</v>
      </c>
      <c r="M325" s="5" t="str">
        <f t="shared" si="20"/>
        <v/>
      </c>
      <c r="N325" s="5" t="s">
        <v>1308</v>
      </c>
      <c r="O325" s="5" t="s">
        <v>1309</v>
      </c>
      <c r="P325" s="5" t="s">
        <v>1310</v>
      </c>
      <c r="Q325" s="5"/>
    </row>
    <row r="326" spans="1:17">
      <c r="A326" s="9">
        <v>46178</v>
      </c>
      <c r="B326" s="5" t="s">
        <v>81</v>
      </c>
      <c r="C326" s="5" t="s">
        <v>82</v>
      </c>
      <c r="D326" s="5" t="s">
        <v>95</v>
      </c>
      <c r="E326" s="5" t="s">
        <v>3556</v>
      </c>
      <c r="F326" s="5">
        <f t="shared" si="21"/>
        <v>60</v>
      </c>
      <c r="G326" s="5" t="s">
        <v>19</v>
      </c>
      <c r="H326" s="5" t="s">
        <v>45</v>
      </c>
      <c r="I326" s="5" t="s">
        <v>21</v>
      </c>
      <c r="J326" s="5" t="s">
        <v>186</v>
      </c>
      <c r="K326" s="5">
        <f t="shared" si="22"/>
        <v>3</v>
      </c>
      <c r="L326" s="5">
        <f t="shared" si="23"/>
        <v>2</v>
      </c>
      <c r="M326" s="5" t="str">
        <f t="shared" si="20"/>
        <v/>
      </c>
      <c r="N326" s="5" t="s">
        <v>1312</v>
      </c>
      <c r="O326" s="5" t="s">
        <v>2795</v>
      </c>
      <c r="P326" s="5" t="s">
        <v>3557</v>
      </c>
      <c r="Q326" s="5" t="s">
        <v>2796</v>
      </c>
    </row>
    <row r="327" spans="1:17">
      <c r="A327" s="9">
        <v>46178</v>
      </c>
      <c r="B327" s="5" t="s">
        <v>1030</v>
      </c>
      <c r="C327" s="5" t="s">
        <v>3408</v>
      </c>
      <c r="D327" s="5" t="s">
        <v>1032</v>
      </c>
      <c r="E327" s="5" t="s">
        <v>2566</v>
      </c>
      <c r="F327" s="5">
        <f t="shared" si="21"/>
        <v>21</v>
      </c>
      <c r="G327" s="5" t="s">
        <v>1034</v>
      </c>
      <c r="H327" s="5" t="s">
        <v>20</v>
      </c>
      <c r="I327" s="5" t="s">
        <v>28</v>
      </c>
      <c r="J327" s="5" t="s">
        <v>28</v>
      </c>
      <c r="K327" s="5">
        <f t="shared" si="22"/>
        <v>4</v>
      </c>
      <c r="L327" s="5">
        <f t="shared" si="23"/>
        <v>4</v>
      </c>
      <c r="M327" s="5" t="str">
        <f t="shared" si="20"/>
        <v/>
      </c>
      <c r="N327" s="5" t="s">
        <v>3558</v>
      </c>
      <c r="O327" s="5" t="s">
        <v>3158</v>
      </c>
      <c r="P327" s="5" t="s">
        <v>3159</v>
      </c>
      <c r="Q327" s="5" t="s">
        <v>123</v>
      </c>
    </row>
    <row r="328" spans="1:17">
      <c r="A328" s="9">
        <v>46178</v>
      </c>
      <c r="B328" s="5" t="s">
        <v>15</v>
      </c>
      <c r="C328" s="5" t="s">
        <v>16</v>
      </c>
      <c r="D328" s="5" t="s">
        <v>17</v>
      </c>
      <c r="E328" s="5" t="s">
        <v>2567</v>
      </c>
      <c r="F328" s="5">
        <f t="shared" si="21"/>
        <v>20</v>
      </c>
      <c r="G328" s="5" t="s">
        <v>19</v>
      </c>
      <c r="H328" s="5" t="s">
        <v>45</v>
      </c>
      <c r="I328" s="5" t="s">
        <v>28</v>
      </c>
      <c r="J328" s="5" t="s">
        <v>28</v>
      </c>
      <c r="K328" s="5">
        <f t="shared" si="22"/>
        <v>4</v>
      </c>
      <c r="L328" s="5">
        <f t="shared" si="23"/>
        <v>4</v>
      </c>
      <c r="M328" s="5" t="str">
        <f t="shared" si="20"/>
        <v/>
      </c>
      <c r="N328" s="5" t="s">
        <v>3160</v>
      </c>
      <c r="O328" s="5"/>
      <c r="P328" s="5"/>
      <c r="Q328" s="5"/>
    </row>
    <row r="329" spans="1:17">
      <c r="A329" s="9">
        <v>46178</v>
      </c>
      <c r="B329" s="5" t="s">
        <v>81</v>
      </c>
      <c r="C329" s="5" t="s">
        <v>50</v>
      </c>
      <c r="D329" s="5" t="s">
        <v>3381</v>
      </c>
      <c r="E329" s="5" t="s">
        <v>2568</v>
      </c>
      <c r="F329" s="5">
        <f t="shared" si="21"/>
        <v>19</v>
      </c>
      <c r="G329" s="5" t="s">
        <v>19</v>
      </c>
      <c r="H329" s="5" t="s">
        <v>20</v>
      </c>
      <c r="I329" s="5" t="s">
        <v>21</v>
      </c>
      <c r="J329" s="5" t="s">
        <v>21</v>
      </c>
      <c r="K329" s="5">
        <f t="shared" si="22"/>
        <v>3</v>
      </c>
      <c r="L329" s="5">
        <f t="shared" si="23"/>
        <v>3</v>
      </c>
      <c r="M329" s="5" t="str">
        <f t="shared" si="20"/>
        <v/>
      </c>
      <c r="N329" s="5" t="s">
        <v>3559</v>
      </c>
      <c r="O329" s="5" t="s">
        <v>1324</v>
      </c>
      <c r="P329" s="5" t="s">
        <v>1325</v>
      </c>
      <c r="Q329" s="5"/>
    </row>
    <row r="330" spans="1:17">
      <c r="A330" s="9">
        <v>46178</v>
      </c>
      <c r="B330" s="5" t="s">
        <v>15</v>
      </c>
      <c r="C330" s="5" t="s">
        <v>16</v>
      </c>
      <c r="D330" s="5" t="s">
        <v>1064</v>
      </c>
      <c r="E330" s="5" t="s">
        <v>2569</v>
      </c>
      <c r="F330" s="5">
        <f t="shared" si="21"/>
        <v>24</v>
      </c>
      <c r="G330" s="5" t="s">
        <v>19</v>
      </c>
      <c r="H330" s="5" t="s">
        <v>20</v>
      </c>
      <c r="I330" s="5" t="s">
        <v>21</v>
      </c>
      <c r="J330" s="5" t="s">
        <v>21</v>
      </c>
      <c r="K330" s="5">
        <f t="shared" si="22"/>
        <v>3</v>
      </c>
      <c r="L330" s="5">
        <f t="shared" si="23"/>
        <v>3</v>
      </c>
      <c r="M330" s="5" t="str">
        <f t="shared" si="20"/>
        <v/>
      </c>
      <c r="N330" s="5" t="s">
        <v>1327</v>
      </c>
      <c r="O330" s="5" t="s">
        <v>1328</v>
      </c>
      <c r="P330" s="5" t="s">
        <v>100</v>
      </c>
      <c r="Q330" s="5"/>
    </row>
    <row r="331" spans="1:17">
      <c r="A331" s="9">
        <v>46178</v>
      </c>
      <c r="B331" s="5" t="s">
        <v>960</v>
      </c>
      <c r="C331" s="5" t="s">
        <v>50</v>
      </c>
      <c r="D331" s="5" t="s">
        <v>3404</v>
      </c>
      <c r="E331" s="5" t="s">
        <v>2570</v>
      </c>
      <c r="F331" s="5">
        <f t="shared" si="21"/>
        <v>26</v>
      </c>
      <c r="G331" s="5" t="s">
        <v>19</v>
      </c>
      <c r="H331" s="5" t="s">
        <v>20</v>
      </c>
      <c r="I331" s="5" t="s">
        <v>21</v>
      </c>
      <c r="J331" s="5" t="s">
        <v>21</v>
      </c>
      <c r="K331" s="5">
        <f t="shared" si="22"/>
        <v>3</v>
      </c>
      <c r="L331" s="5">
        <f t="shared" si="23"/>
        <v>3</v>
      </c>
      <c r="M331" s="5" t="str">
        <f t="shared" si="20"/>
        <v/>
      </c>
      <c r="N331" s="5" t="s">
        <v>3161</v>
      </c>
      <c r="O331" s="5" t="s">
        <v>1331</v>
      </c>
      <c r="P331" s="5" t="s">
        <v>1332</v>
      </c>
      <c r="Q331" s="5"/>
    </row>
    <row r="332" spans="1:17">
      <c r="A332" s="9">
        <v>46178</v>
      </c>
      <c r="B332" s="5" t="s">
        <v>1030</v>
      </c>
      <c r="C332" s="5" t="s">
        <v>3408</v>
      </c>
      <c r="D332" s="5" t="s">
        <v>1032</v>
      </c>
      <c r="E332" s="5" t="s">
        <v>2571</v>
      </c>
      <c r="F332" s="5">
        <f t="shared" si="21"/>
        <v>21</v>
      </c>
      <c r="G332" s="5" t="s">
        <v>1034</v>
      </c>
      <c r="H332" s="5" t="s">
        <v>20</v>
      </c>
      <c r="I332" s="5" t="s">
        <v>21</v>
      </c>
      <c r="J332" s="5" t="s">
        <v>21</v>
      </c>
      <c r="K332" s="5">
        <f t="shared" si="22"/>
        <v>3</v>
      </c>
      <c r="L332" s="5">
        <f t="shared" si="23"/>
        <v>3</v>
      </c>
      <c r="M332" s="5" t="str">
        <f t="shared" si="20"/>
        <v/>
      </c>
      <c r="N332" s="5" t="s">
        <v>1334</v>
      </c>
      <c r="O332" s="5" t="s">
        <v>1335</v>
      </c>
      <c r="P332" s="5" t="s">
        <v>1336</v>
      </c>
      <c r="Q332" s="5"/>
    </row>
    <row r="333" spans="1:17">
      <c r="A333" s="9">
        <v>46178</v>
      </c>
      <c r="B333" s="5" t="s">
        <v>81</v>
      </c>
      <c r="C333" s="5" t="s">
        <v>50</v>
      </c>
      <c r="D333" s="5" t="s">
        <v>3390</v>
      </c>
      <c r="E333" s="5" t="s">
        <v>2572</v>
      </c>
      <c r="F333" s="5">
        <f t="shared" si="21"/>
        <v>34</v>
      </c>
      <c r="G333" s="5" t="s">
        <v>19</v>
      </c>
      <c r="H333" s="5" t="s">
        <v>20</v>
      </c>
      <c r="I333" s="5" t="s">
        <v>21</v>
      </c>
      <c r="J333" s="5" t="s">
        <v>21</v>
      </c>
      <c r="K333" s="5">
        <f t="shared" si="22"/>
        <v>3</v>
      </c>
      <c r="L333" s="5">
        <f t="shared" si="23"/>
        <v>3</v>
      </c>
      <c r="M333" s="5" t="str">
        <f t="shared" si="20"/>
        <v/>
      </c>
      <c r="N333" s="5" t="s">
        <v>1338</v>
      </c>
      <c r="O333" s="5" t="s">
        <v>1339</v>
      </c>
      <c r="P333" s="5" t="s">
        <v>1340</v>
      </c>
      <c r="Q333" s="5"/>
    </row>
    <row r="334" spans="1:17">
      <c r="A334" s="9">
        <v>46178</v>
      </c>
      <c r="B334" s="5" t="s">
        <v>15</v>
      </c>
      <c r="C334" s="5" t="s">
        <v>16</v>
      </c>
      <c r="D334" s="5" t="s">
        <v>105</v>
      </c>
      <c r="E334" s="5" t="s">
        <v>2573</v>
      </c>
      <c r="F334" s="5">
        <f t="shared" si="21"/>
        <v>36</v>
      </c>
      <c r="G334" s="5" t="s">
        <v>19</v>
      </c>
      <c r="H334" s="5" t="s">
        <v>20</v>
      </c>
      <c r="I334" s="5" t="s">
        <v>21</v>
      </c>
      <c r="J334" s="5" t="s">
        <v>21</v>
      </c>
      <c r="K334" s="5">
        <f t="shared" si="22"/>
        <v>3</v>
      </c>
      <c r="L334" s="5">
        <f t="shared" si="23"/>
        <v>3</v>
      </c>
      <c r="M334" s="5" t="str">
        <f t="shared" si="20"/>
        <v/>
      </c>
      <c r="N334" s="5" t="s">
        <v>1342</v>
      </c>
      <c r="O334" s="5"/>
      <c r="P334" s="5" t="s">
        <v>1343</v>
      </c>
      <c r="Q334" s="5"/>
    </row>
    <row r="335" spans="1:17">
      <c r="A335" s="9">
        <v>46178</v>
      </c>
      <c r="B335" s="5" t="s">
        <v>81</v>
      </c>
      <c r="C335" s="5" t="s">
        <v>50</v>
      </c>
      <c r="D335" s="5" t="s">
        <v>3404</v>
      </c>
      <c r="E335" s="5" t="s">
        <v>2574</v>
      </c>
      <c r="F335" s="5">
        <f t="shared" si="21"/>
        <v>26</v>
      </c>
      <c r="G335" s="5" t="s">
        <v>19</v>
      </c>
      <c r="H335" s="5" t="s">
        <v>20</v>
      </c>
      <c r="I335" s="5" t="s">
        <v>28</v>
      </c>
      <c r="J335" s="5" t="s">
        <v>28</v>
      </c>
      <c r="K335" s="5">
        <f t="shared" si="22"/>
        <v>4</v>
      </c>
      <c r="L335" s="5">
        <f t="shared" si="23"/>
        <v>4</v>
      </c>
      <c r="M335" s="5" t="str">
        <f t="shared" si="20"/>
        <v/>
      </c>
      <c r="N335" s="5" t="s">
        <v>1345</v>
      </c>
      <c r="O335" s="5" t="s">
        <v>1346</v>
      </c>
      <c r="P335" s="5" t="s">
        <v>1347</v>
      </c>
      <c r="Q335" s="5" t="s">
        <v>1348</v>
      </c>
    </row>
    <row r="336" spans="1:17">
      <c r="A336" s="9">
        <v>46178</v>
      </c>
      <c r="B336" s="5" t="s">
        <v>81</v>
      </c>
      <c r="C336" s="5" t="s">
        <v>50</v>
      </c>
      <c r="D336" s="5" t="s">
        <v>3404</v>
      </c>
      <c r="E336" s="5" t="s">
        <v>2575</v>
      </c>
      <c r="F336" s="5">
        <f t="shared" si="21"/>
        <v>28</v>
      </c>
      <c r="G336" s="5" t="s">
        <v>19</v>
      </c>
      <c r="H336" s="5" t="s">
        <v>20</v>
      </c>
      <c r="I336" s="5" t="s">
        <v>21</v>
      </c>
      <c r="J336" s="5" t="s">
        <v>28</v>
      </c>
      <c r="K336" s="5">
        <f t="shared" si="22"/>
        <v>3</v>
      </c>
      <c r="L336" s="5">
        <f t="shared" si="23"/>
        <v>4</v>
      </c>
      <c r="M336" s="5" t="str">
        <f t="shared" si="20"/>
        <v/>
      </c>
      <c r="N336" s="5" t="s">
        <v>1350</v>
      </c>
      <c r="O336" s="5" t="s">
        <v>3162</v>
      </c>
      <c r="P336" s="5" t="s">
        <v>1352</v>
      </c>
      <c r="Q336" s="5"/>
    </row>
    <row r="337" spans="1:17">
      <c r="A337" s="9">
        <v>46178</v>
      </c>
      <c r="B337" s="5" t="s">
        <v>81</v>
      </c>
      <c r="C337" s="5" t="s">
        <v>50</v>
      </c>
      <c r="D337" s="5" t="s">
        <v>3404</v>
      </c>
      <c r="E337" s="5" t="s">
        <v>2576</v>
      </c>
      <c r="F337" s="5">
        <f t="shared" si="21"/>
        <v>28</v>
      </c>
      <c r="G337" s="5" t="s">
        <v>19</v>
      </c>
      <c r="H337" s="5" t="s">
        <v>45</v>
      </c>
      <c r="I337" s="5" t="s">
        <v>21</v>
      </c>
      <c r="J337" s="5" t="s">
        <v>21</v>
      </c>
      <c r="K337" s="5">
        <f t="shared" si="22"/>
        <v>3</v>
      </c>
      <c r="L337" s="5">
        <f t="shared" si="23"/>
        <v>3</v>
      </c>
      <c r="M337" s="5" t="str">
        <f t="shared" si="20"/>
        <v/>
      </c>
      <c r="N337" s="5" t="s">
        <v>3560</v>
      </c>
      <c r="O337" s="5" t="s">
        <v>3561</v>
      </c>
      <c r="P337" s="5" t="s">
        <v>3163</v>
      </c>
      <c r="Q337" s="5"/>
    </row>
    <row r="338" spans="1:17">
      <c r="A338" s="9">
        <v>46178</v>
      </c>
      <c r="B338" s="5" t="s">
        <v>1030</v>
      </c>
      <c r="C338" s="5" t="s">
        <v>3408</v>
      </c>
      <c r="D338" s="5" t="s">
        <v>1032</v>
      </c>
      <c r="E338" s="5" t="s">
        <v>2571</v>
      </c>
      <c r="F338" s="5">
        <f t="shared" si="21"/>
        <v>21</v>
      </c>
      <c r="G338" s="5" t="s">
        <v>1034</v>
      </c>
      <c r="H338" s="5" t="s">
        <v>20</v>
      </c>
      <c r="I338" s="5" t="s">
        <v>21</v>
      </c>
      <c r="J338" s="5" t="s">
        <v>21</v>
      </c>
      <c r="K338" s="5">
        <f t="shared" si="22"/>
        <v>3</v>
      </c>
      <c r="L338" s="5">
        <f t="shared" si="23"/>
        <v>3</v>
      </c>
      <c r="M338" s="5" t="str">
        <f t="shared" si="20"/>
        <v/>
      </c>
      <c r="N338" s="5" t="s">
        <v>1357</v>
      </c>
      <c r="O338" s="5" t="s">
        <v>1358</v>
      </c>
      <c r="P338" s="5" t="s">
        <v>1359</v>
      </c>
      <c r="Q338" s="5"/>
    </row>
    <row r="339" spans="1:17">
      <c r="A339" s="9">
        <v>46178</v>
      </c>
      <c r="B339" s="5" t="s">
        <v>81</v>
      </c>
      <c r="C339" s="5" t="s">
        <v>50</v>
      </c>
      <c r="D339" s="5" t="s">
        <v>3390</v>
      </c>
      <c r="E339" s="5" t="s">
        <v>2353</v>
      </c>
      <c r="F339" s="5">
        <f t="shared" si="21"/>
        <v>34</v>
      </c>
      <c r="G339" s="5" t="s">
        <v>19</v>
      </c>
      <c r="H339" s="5" t="s">
        <v>20</v>
      </c>
      <c r="I339" s="5" t="s">
        <v>28</v>
      </c>
      <c r="J339" s="5" t="s">
        <v>28</v>
      </c>
      <c r="K339" s="5">
        <f t="shared" si="22"/>
        <v>4</v>
      </c>
      <c r="L339" s="5">
        <f t="shared" si="23"/>
        <v>4</v>
      </c>
      <c r="M339" s="5" t="str">
        <f t="shared" si="20"/>
        <v/>
      </c>
      <c r="N339" s="5" t="s">
        <v>2797</v>
      </c>
      <c r="O339" s="5"/>
      <c r="P339" s="5"/>
      <c r="Q339" s="5"/>
    </row>
    <row r="340" spans="1:17">
      <c r="A340" s="9">
        <v>46178</v>
      </c>
      <c r="B340" s="5" t="s">
        <v>81</v>
      </c>
      <c r="C340" s="5" t="s">
        <v>50</v>
      </c>
      <c r="D340" s="5" t="s">
        <v>3381</v>
      </c>
      <c r="E340" s="5" t="s">
        <v>2577</v>
      </c>
      <c r="F340" s="5">
        <f t="shared" si="21"/>
        <v>28</v>
      </c>
      <c r="G340" s="5" t="s">
        <v>19</v>
      </c>
      <c r="H340" s="5" t="s">
        <v>45</v>
      </c>
      <c r="I340" s="5" t="s">
        <v>21</v>
      </c>
      <c r="J340" s="5" t="s">
        <v>28</v>
      </c>
      <c r="K340" s="5">
        <f t="shared" si="22"/>
        <v>3</v>
      </c>
      <c r="L340" s="5">
        <f t="shared" si="23"/>
        <v>4</v>
      </c>
      <c r="M340" s="5" t="str">
        <f t="shared" si="20"/>
        <v/>
      </c>
      <c r="N340" s="5" t="s">
        <v>3164</v>
      </c>
      <c r="O340" s="5"/>
      <c r="P340" s="5"/>
      <c r="Q340" s="5"/>
    </row>
    <row r="341" spans="1:17">
      <c r="A341" s="9">
        <v>46178</v>
      </c>
      <c r="B341" s="5" t="s">
        <v>15</v>
      </c>
      <c r="C341" s="5" t="s">
        <v>16</v>
      </c>
      <c r="D341" s="5" t="s">
        <v>105</v>
      </c>
      <c r="E341" s="5" t="s">
        <v>2578</v>
      </c>
      <c r="F341" s="5">
        <f t="shared" si="21"/>
        <v>27</v>
      </c>
      <c r="G341" s="5" t="s">
        <v>107</v>
      </c>
      <c r="H341" s="5" t="s">
        <v>20</v>
      </c>
      <c r="I341" s="5" t="s">
        <v>21</v>
      </c>
      <c r="J341" s="5" t="s">
        <v>21</v>
      </c>
      <c r="K341" s="5">
        <f t="shared" si="22"/>
        <v>3</v>
      </c>
      <c r="L341" s="5">
        <f t="shared" si="23"/>
        <v>3</v>
      </c>
      <c r="M341" s="5" t="str">
        <f t="shared" si="20"/>
        <v/>
      </c>
      <c r="N341" s="5" t="s">
        <v>3165</v>
      </c>
      <c r="O341" s="5" t="s">
        <v>3166</v>
      </c>
      <c r="P341" s="5" t="s">
        <v>3562</v>
      </c>
      <c r="Q341" s="5" t="s">
        <v>3167</v>
      </c>
    </row>
    <row r="342" spans="1:17">
      <c r="A342" s="9">
        <v>46178</v>
      </c>
      <c r="B342" s="5" t="s">
        <v>150</v>
      </c>
      <c r="C342" s="5" t="s">
        <v>3389</v>
      </c>
      <c r="D342" s="5" t="s">
        <v>150</v>
      </c>
      <c r="E342" s="5" t="s">
        <v>3168</v>
      </c>
      <c r="F342" s="5">
        <f t="shared" si="21"/>
        <v>39</v>
      </c>
      <c r="G342" s="5" t="s">
        <v>19</v>
      </c>
      <c r="H342" s="5" t="s">
        <v>45</v>
      </c>
      <c r="I342" s="5" t="s">
        <v>21</v>
      </c>
      <c r="J342" s="5" t="s">
        <v>28</v>
      </c>
      <c r="K342" s="5">
        <f t="shared" si="22"/>
        <v>3</v>
      </c>
      <c r="L342" s="5">
        <f t="shared" si="23"/>
        <v>4</v>
      </c>
      <c r="M342" s="5" t="str">
        <f t="shared" si="20"/>
        <v/>
      </c>
      <c r="N342" s="5" t="s">
        <v>1369</v>
      </c>
      <c r="O342" s="5"/>
      <c r="P342" s="5"/>
      <c r="Q342" s="5"/>
    </row>
    <row r="343" spans="1:17">
      <c r="A343" s="9">
        <v>46178</v>
      </c>
      <c r="B343" s="5" t="s">
        <v>1073</v>
      </c>
      <c r="C343" s="5" t="s">
        <v>3409</v>
      </c>
      <c r="D343" s="5" t="s">
        <v>1075</v>
      </c>
      <c r="E343" s="5" t="s">
        <v>2579</v>
      </c>
      <c r="F343" s="5">
        <f t="shared" si="21"/>
        <v>21</v>
      </c>
      <c r="G343" s="5" t="s">
        <v>981</v>
      </c>
      <c r="H343" s="5" t="s">
        <v>20</v>
      </c>
      <c r="I343" s="5" t="s">
        <v>21</v>
      </c>
      <c r="J343" s="5" t="s">
        <v>21</v>
      </c>
      <c r="K343" s="5">
        <f t="shared" si="22"/>
        <v>3</v>
      </c>
      <c r="L343" s="5">
        <f t="shared" si="23"/>
        <v>3</v>
      </c>
      <c r="M343" s="5" t="str">
        <f t="shared" si="20"/>
        <v/>
      </c>
      <c r="N343" s="5" t="s">
        <v>1371</v>
      </c>
      <c r="O343" s="5" t="s">
        <v>2798</v>
      </c>
      <c r="P343" s="5" t="s">
        <v>1373</v>
      </c>
      <c r="Q343" s="5"/>
    </row>
    <row r="344" spans="1:17">
      <c r="A344" s="9">
        <v>46178</v>
      </c>
      <c r="B344" s="5" t="s">
        <v>81</v>
      </c>
      <c r="C344" s="5" t="s">
        <v>50</v>
      </c>
      <c r="D344" s="5" t="s">
        <v>3381</v>
      </c>
      <c r="E344" s="5" t="s">
        <v>3169</v>
      </c>
      <c r="F344" s="5">
        <f t="shared" si="21"/>
        <v>36</v>
      </c>
      <c r="G344" s="5" t="s">
        <v>19</v>
      </c>
      <c r="H344" s="5" t="s">
        <v>45</v>
      </c>
      <c r="I344" s="5" t="s">
        <v>28</v>
      </c>
      <c r="J344" s="5" t="s">
        <v>28</v>
      </c>
      <c r="K344" s="5">
        <f t="shared" si="22"/>
        <v>4</v>
      </c>
      <c r="L344" s="5">
        <f t="shared" si="23"/>
        <v>4</v>
      </c>
      <c r="M344" s="5" t="str">
        <f t="shared" si="20"/>
        <v/>
      </c>
      <c r="N344" s="5" t="s">
        <v>1375</v>
      </c>
      <c r="O344" s="5" t="s">
        <v>1376</v>
      </c>
      <c r="P344" s="5" t="s">
        <v>1377</v>
      </c>
      <c r="Q344" s="5" t="s">
        <v>1378</v>
      </c>
    </row>
    <row r="345" spans="1:17">
      <c r="A345" s="9">
        <v>46178</v>
      </c>
      <c r="B345" s="5" t="s">
        <v>15</v>
      </c>
      <c r="C345" s="5" t="s">
        <v>16</v>
      </c>
      <c r="D345" s="5" t="s">
        <v>17</v>
      </c>
      <c r="E345" s="5" t="s">
        <v>2580</v>
      </c>
      <c r="F345" s="5">
        <f t="shared" si="21"/>
        <v>23</v>
      </c>
      <c r="G345" s="5" t="s">
        <v>107</v>
      </c>
      <c r="H345" s="5" t="s">
        <v>20</v>
      </c>
      <c r="I345" s="5" t="s">
        <v>21</v>
      </c>
      <c r="J345" s="5" t="s">
        <v>21</v>
      </c>
      <c r="K345" s="5">
        <f t="shared" si="22"/>
        <v>3</v>
      </c>
      <c r="L345" s="5">
        <f t="shared" si="23"/>
        <v>3</v>
      </c>
      <c r="M345" s="5" t="str">
        <f t="shared" si="20"/>
        <v/>
      </c>
      <c r="N345" s="5" t="s">
        <v>3563</v>
      </c>
      <c r="O345" s="5" t="s">
        <v>3170</v>
      </c>
      <c r="P345" s="5" t="s">
        <v>1382</v>
      </c>
      <c r="Q345" s="5"/>
    </row>
    <row r="346" spans="1:17">
      <c r="A346" s="9">
        <v>46178</v>
      </c>
      <c r="B346" s="5" t="s">
        <v>81</v>
      </c>
      <c r="C346" s="5" t="s">
        <v>82</v>
      </c>
      <c r="D346" s="5" t="s">
        <v>3394</v>
      </c>
      <c r="E346" s="5" t="s">
        <v>2581</v>
      </c>
      <c r="F346" s="5">
        <f t="shared" si="21"/>
        <v>44</v>
      </c>
      <c r="G346" s="5" t="s">
        <v>19</v>
      </c>
      <c r="H346" s="5" t="s">
        <v>20</v>
      </c>
      <c r="I346" s="5" t="s">
        <v>28</v>
      </c>
      <c r="J346" s="5" t="s">
        <v>21</v>
      </c>
      <c r="K346" s="5">
        <f t="shared" si="22"/>
        <v>4</v>
      </c>
      <c r="L346" s="5">
        <f t="shared" si="23"/>
        <v>3</v>
      </c>
      <c r="M346" s="5" t="str">
        <f t="shared" si="20"/>
        <v/>
      </c>
      <c r="N346" s="5" t="s">
        <v>1384</v>
      </c>
      <c r="O346" s="5" t="s">
        <v>1385</v>
      </c>
      <c r="P346" s="5" t="s">
        <v>3564</v>
      </c>
      <c r="Q346" s="5"/>
    </row>
    <row r="347" spans="1:17">
      <c r="A347" s="9">
        <v>46178</v>
      </c>
      <c r="B347" s="5" t="s">
        <v>1030</v>
      </c>
      <c r="C347" s="5" t="s">
        <v>3408</v>
      </c>
      <c r="D347" s="5" t="s">
        <v>1032</v>
      </c>
      <c r="E347" s="5" t="s">
        <v>2582</v>
      </c>
      <c r="F347" s="5">
        <f t="shared" si="21"/>
        <v>42</v>
      </c>
      <c r="G347" s="5" t="s">
        <v>981</v>
      </c>
      <c r="H347" s="5" t="s">
        <v>20</v>
      </c>
      <c r="I347" s="5" t="s">
        <v>21</v>
      </c>
      <c r="J347" s="5" t="s">
        <v>28</v>
      </c>
      <c r="K347" s="5">
        <f t="shared" si="22"/>
        <v>3</v>
      </c>
      <c r="L347" s="5">
        <f t="shared" si="23"/>
        <v>4</v>
      </c>
      <c r="M347" s="5" t="str">
        <f t="shared" si="20"/>
        <v/>
      </c>
      <c r="N347" s="5" t="s">
        <v>1388</v>
      </c>
      <c r="O347" s="5" t="s">
        <v>724</v>
      </c>
      <c r="P347" s="5" t="s">
        <v>1389</v>
      </c>
      <c r="Q347" s="5"/>
    </row>
    <row r="348" spans="1:17">
      <c r="A348" s="9">
        <v>46178</v>
      </c>
      <c r="B348" s="5" t="s">
        <v>72</v>
      </c>
      <c r="C348" s="5" t="s">
        <v>3384</v>
      </c>
      <c r="D348" s="5" t="s">
        <v>72</v>
      </c>
      <c r="E348" s="5" t="s">
        <v>2583</v>
      </c>
      <c r="F348" s="5">
        <f t="shared" si="21"/>
        <v>36</v>
      </c>
      <c r="G348" s="5" t="s">
        <v>19</v>
      </c>
      <c r="H348" s="5" t="s">
        <v>45</v>
      </c>
      <c r="I348" s="5" t="s">
        <v>21</v>
      </c>
      <c r="J348" s="5" t="s">
        <v>21</v>
      </c>
      <c r="K348" s="5">
        <f t="shared" si="22"/>
        <v>3</v>
      </c>
      <c r="L348" s="5">
        <f t="shared" si="23"/>
        <v>3</v>
      </c>
      <c r="M348" s="5" t="str">
        <f t="shared" si="20"/>
        <v/>
      </c>
      <c r="N348" s="5" t="s">
        <v>3171</v>
      </c>
      <c r="O348" s="5" t="s">
        <v>3565</v>
      </c>
      <c r="P348" s="5" t="s">
        <v>3172</v>
      </c>
      <c r="Q348" s="5" t="s">
        <v>3173</v>
      </c>
    </row>
    <row r="349" spans="1:17">
      <c r="A349" s="9">
        <v>46178</v>
      </c>
      <c r="B349" s="5" t="s">
        <v>81</v>
      </c>
      <c r="C349" s="5" t="s">
        <v>50</v>
      </c>
      <c r="D349" s="5" t="s">
        <v>3390</v>
      </c>
      <c r="E349" s="5" t="s">
        <v>2584</v>
      </c>
      <c r="F349" s="5">
        <f t="shared" si="21"/>
        <v>45</v>
      </c>
      <c r="G349" s="5" t="s">
        <v>19</v>
      </c>
      <c r="H349" s="5" t="s">
        <v>20</v>
      </c>
      <c r="I349" s="5" t="s">
        <v>21</v>
      </c>
      <c r="J349" s="5" t="s">
        <v>28</v>
      </c>
      <c r="K349" s="5">
        <f t="shared" si="22"/>
        <v>3</v>
      </c>
      <c r="L349" s="5">
        <f t="shared" si="23"/>
        <v>4</v>
      </c>
      <c r="M349" s="5" t="str">
        <f t="shared" si="20"/>
        <v/>
      </c>
      <c r="N349" s="5" t="s">
        <v>3174</v>
      </c>
      <c r="O349" s="5" t="s">
        <v>1397</v>
      </c>
      <c r="P349" s="5" t="s">
        <v>3175</v>
      </c>
      <c r="Q349" s="5"/>
    </row>
    <row r="350" spans="1:17">
      <c r="A350" s="9">
        <v>46178</v>
      </c>
      <c r="B350" s="5" t="s">
        <v>15</v>
      </c>
      <c r="C350" s="5" t="s">
        <v>16</v>
      </c>
      <c r="D350" s="5" t="s">
        <v>105</v>
      </c>
      <c r="E350" s="5" t="s">
        <v>3176</v>
      </c>
      <c r="F350" s="5">
        <f t="shared" si="21"/>
        <v>30</v>
      </c>
      <c r="G350" s="5" t="s">
        <v>107</v>
      </c>
      <c r="H350" s="5" t="s">
        <v>20</v>
      </c>
      <c r="I350" s="5" t="s">
        <v>28</v>
      </c>
      <c r="J350" s="5" t="s">
        <v>21</v>
      </c>
      <c r="K350" s="5">
        <f t="shared" si="22"/>
        <v>4</v>
      </c>
      <c r="L350" s="5">
        <f t="shared" si="23"/>
        <v>3</v>
      </c>
      <c r="M350" s="5" t="str">
        <f t="shared" si="20"/>
        <v/>
      </c>
      <c r="N350" s="5" t="s">
        <v>1400</v>
      </c>
      <c r="O350" s="5" t="s">
        <v>1401</v>
      </c>
      <c r="P350" s="5" t="s">
        <v>100</v>
      </c>
      <c r="Q350" s="5"/>
    </row>
    <row r="351" spans="1:17">
      <c r="A351" s="9">
        <v>46178</v>
      </c>
      <c r="B351" s="5" t="s">
        <v>1030</v>
      </c>
      <c r="C351" s="5" t="s">
        <v>3408</v>
      </c>
      <c r="D351" s="5" t="s">
        <v>1032</v>
      </c>
      <c r="E351" s="5" t="s">
        <v>2799</v>
      </c>
      <c r="F351" s="5">
        <f t="shared" si="21"/>
        <v>20</v>
      </c>
      <c r="G351" s="5" t="s">
        <v>1034</v>
      </c>
      <c r="H351" s="5" t="s">
        <v>20</v>
      </c>
      <c r="I351" s="5" t="s">
        <v>21</v>
      </c>
      <c r="J351" s="5" t="s">
        <v>21</v>
      </c>
      <c r="K351" s="5">
        <f t="shared" si="22"/>
        <v>3</v>
      </c>
      <c r="L351" s="5">
        <f t="shared" si="23"/>
        <v>3</v>
      </c>
      <c r="M351" s="5" t="str">
        <f t="shared" si="20"/>
        <v/>
      </c>
      <c r="N351" s="5" t="s">
        <v>1403</v>
      </c>
      <c r="O351" s="5" t="s">
        <v>1404</v>
      </c>
      <c r="P351" s="5" t="s">
        <v>1405</v>
      </c>
      <c r="Q351" s="5"/>
    </row>
    <row r="352" spans="1:17">
      <c r="A352" s="9">
        <v>46178</v>
      </c>
      <c r="B352" s="5" t="s">
        <v>81</v>
      </c>
      <c r="C352" s="5" t="s">
        <v>50</v>
      </c>
      <c r="D352" s="5" t="s">
        <v>3387</v>
      </c>
      <c r="E352" s="5" t="s">
        <v>2585</v>
      </c>
      <c r="F352" s="5">
        <f t="shared" si="21"/>
        <v>21</v>
      </c>
      <c r="G352" s="5" t="s">
        <v>19</v>
      </c>
      <c r="H352" s="5" t="s">
        <v>20</v>
      </c>
      <c r="I352" s="5" t="s">
        <v>21</v>
      </c>
      <c r="J352" s="5" t="s">
        <v>21</v>
      </c>
      <c r="K352" s="5">
        <f t="shared" si="22"/>
        <v>3</v>
      </c>
      <c r="L352" s="5">
        <f t="shared" si="23"/>
        <v>3</v>
      </c>
      <c r="M352" s="5" t="str">
        <f t="shared" si="20"/>
        <v/>
      </c>
      <c r="N352" s="5" t="s">
        <v>3177</v>
      </c>
      <c r="O352" s="5" t="s">
        <v>1408</v>
      </c>
      <c r="P352" s="5"/>
      <c r="Q352" s="5"/>
    </row>
    <row r="353" spans="1:17">
      <c r="A353" s="9">
        <v>46178</v>
      </c>
      <c r="B353" s="5" t="s">
        <v>111</v>
      </c>
      <c r="C353" s="5" t="s">
        <v>112</v>
      </c>
      <c r="D353" s="5" t="s">
        <v>3385</v>
      </c>
      <c r="E353" s="5" t="s">
        <v>2586</v>
      </c>
      <c r="F353" s="5">
        <f t="shared" si="21"/>
        <v>36</v>
      </c>
      <c r="G353" s="5" t="s">
        <v>19</v>
      </c>
      <c r="H353" s="5" t="s">
        <v>20</v>
      </c>
      <c r="I353" s="5" t="s">
        <v>28</v>
      </c>
      <c r="J353" s="5" t="s">
        <v>28</v>
      </c>
      <c r="K353" s="5">
        <f t="shared" si="22"/>
        <v>4</v>
      </c>
      <c r="L353" s="5">
        <f t="shared" si="23"/>
        <v>4</v>
      </c>
      <c r="M353" s="5" t="str">
        <f t="shared" si="20"/>
        <v/>
      </c>
      <c r="N353" s="5" t="s">
        <v>1410</v>
      </c>
      <c r="O353" s="5" t="s">
        <v>1411</v>
      </c>
      <c r="P353" s="5" t="s">
        <v>1412</v>
      </c>
      <c r="Q353" s="5"/>
    </row>
    <row r="354" spans="1:17">
      <c r="A354" s="9">
        <v>46178</v>
      </c>
      <c r="B354" s="5" t="s">
        <v>15</v>
      </c>
      <c r="C354" s="5" t="s">
        <v>16</v>
      </c>
      <c r="D354" s="5" t="s">
        <v>1064</v>
      </c>
      <c r="E354" s="5" t="s">
        <v>2587</v>
      </c>
      <c r="F354" s="5">
        <f t="shared" si="21"/>
        <v>23</v>
      </c>
      <c r="G354" s="5" t="s">
        <v>19</v>
      </c>
      <c r="H354" s="5" t="s">
        <v>20</v>
      </c>
      <c r="I354" s="5" t="s">
        <v>21</v>
      </c>
      <c r="J354" s="5" t="s">
        <v>21</v>
      </c>
      <c r="K354" s="5">
        <f t="shared" si="22"/>
        <v>3</v>
      </c>
      <c r="L354" s="5">
        <f t="shared" si="23"/>
        <v>3</v>
      </c>
      <c r="M354" s="5" t="str">
        <f t="shared" si="20"/>
        <v/>
      </c>
      <c r="N354" s="5" t="s">
        <v>1414</v>
      </c>
      <c r="O354" s="5" t="s">
        <v>1415</v>
      </c>
      <c r="P354" s="5" t="s">
        <v>1416</v>
      </c>
      <c r="Q354" s="5"/>
    </row>
    <row r="355" spans="1:17">
      <c r="A355" s="9">
        <v>46178</v>
      </c>
      <c r="B355" s="5" t="s">
        <v>81</v>
      </c>
      <c r="C355" s="5" t="s">
        <v>82</v>
      </c>
      <c r="D355" s="5" t="s">
        <v>3394</v>
      </c>
      <c r="E355" s="5" t="s">
        <v>2588</v>
      </c>
      <c r="F355" s="5">
        <f t="shared" si="21"/>
        <v>28</v>
      </c>
      <c r="G355" s="5" t="s">
        <v>19</v>
      </c>
      <c r="H355" s="5" t="s">
        <v>20</v>
      </c>
      <c r="I355" s="5" t="s">
        <v>28</v>
      </c>
      <c r="J355" s="5" t="s">
        <v>28</v>
      </c>
      <c r="K355" s="5">
        <f t="shared" si="22"/>
        <v>4</v>
      </c>
      <c r="L355" s="5">
        <f t="shared" si="23"/>
        <v>4</v>
      </c>
      <c r="M355" s="5" t="str">
        <f t="shared" si="20"/>
        <v/>
      </c>
      <c r="N355" s="5" t="s">
        <v>3411</v>
      </c>
      <c r="O355" s="5" t="s">
        <v>3566</v>
      </c>
      <c r="P355" s="5" t="s">
        <v>3567</v>
      </c>
      <c r="Q355" s="5" t="s">
        <v>1421</v>
      </c>
    </row>
    <row r="356" spans="1:17">
      <c r="A356" s="9">
        <v>46178</v>
      </c>
      <c r="B356" s="5" t="s">
        <v>1073</v>
      </c>
      <c r="C356" s="5" t="s">
        <v>3409</v>
      </c>
      <c r="D356" s="5" t="s">
        <v>1075</v>
      </c>
      <c r="E356" s="5" t="s">
        <v>2589</v>
      </c>
      <c r="F356" s="5">
        <f t="shared" si="21"/>
        <v>44</v>
      </c>
      <c r="G356" s="5" t="s">
        <v>981</v>
      </c>
      <c r="H356" s="5" t="s">
        <v>20</v>
      </c>
      <c r="I356" s="5" t="s">
        <v>21</v>
      </c>
      <c r="J356" s="5" t="s">
        <v>21</v>
      </c>
      <c r="K356" s="5">
        <f t="shared" si="22"/>
        <v>3</v>
      </c>
      <c r="L356" s="5">
        <f t="shared" si="23"/>
        <v>3</v>
      </c>
      <c r="M356" s="5" t="str">
        <f t="shared" si="20"/>
        <v/>
      </c>
      <c r="N356" s="5" t="s">
        <v>1423</v>
      </c>
      <c r="O356" s="5" t="s">
        <v>1424</v>
      </c>
      <c r="P356" s="5" t="s">
        <v>1425</v>
      </c>
      <c r="Q356" s="5" t="s">
        <v>1426</v>
      </c>
    </row>
    <row r="357" spans="1:17">
      <c r="A357" s="9">
        <v>46178</v>
      </c>
      <c r="B357" s="5" t="s">
        <v>1030</v>
      </c>
      <c r="C357" s="5" t="s">
        <v>3408</v>
      </c>
      <c r="D357" s="5" t="s">
        <v>1032</v>
      </c>
      <c r="E357" s="5" t="s">
        <v>3178</v>
      </c>
      <c r="F357" s="5">
        <f t="shared" si="21"/>
        <v>16</v>
      </c>
      <c r="G357" s="5" t="s">
        <v>1034</v>
      </c>
      <c r="H357" s="5" t="s">
        <v>20</v>
      </c>
      <c r="I357" s="5" t="s">
        <v>604</v>
      </c>
      <c r="J357" s="5" t="s">
        <v>28</v>
      </c>
      <c r="K357" s="5">
        <f t="shared" si="22"/>
        <v>1</v>
      </c>
      <c r="L357" s="5">
        <f t="shared" si="23"/>
        <v>4</v>
      </c>
      <c r="M357" s="5" t="str">
        <f t="shared" si="20"/>
        <v>YES</v>
      </c>
      <c r="N357" s="5" t="s">
        <v>1428</v>
      </c>
      <c r="O357" s="5" t="s">
        <v>1286</v>
      </c>
      <c r="P357" s="5" t="s">
        <v>1429</v>
      </c>
      <c r="Q357" s="5" t="s">
        <v>1430</v>
      </c>
    </row>
    <row r="358" spans="1:17">
      <c r="A358" s="9">
        <v>46178</v>
      </c>
      <c r="B358" s="5" t="s">
        <v>81</v>
      </c>
      <c r="C358" s="5" t="s">
        <v>82</v>
      </c>
      <c r="D358" s="5" t="s">
        <v>3394</v>
      </c>
      <c r="E358" s="5" t="s">
        <v>2590</v>
      </c>
      <c r="F358" s="5">
        <f t="shared" si="21"/>
        <v>23</v>
      </c>
      <c r="G358" s="5" t="s">
        <v>19</v>
      </c>
      <c r="H358" s="5" t="s">
        <v>20</v>
      </c>
      <c r="I358" s="5" t="s">
        <v>21</v>
      </c>
      <c r="J358" s="5" t="s">
        <v>28</v>
      </c>
      <c r="K358" s="5">
        <f t="shared" si="22"/>
        <v>3</v>
      </c>
      <c r="L358" s="5">
        <f t="shared" si="23"/>
        <v>4</v>
      </c>
      <c r="M358" s="5" t="str">
        <f t="shared" si="20"/>
        <v/>
      </c>
      <c r="N358" s="5" t="s">
        <v>3179</v>
      </c>
      <c r="O358" s="5"/>
      <c r="P358" s="5"/>
      <c r="Q358" s="5"/>
    </row>
    <row r="359" spans="1:17">
      <c r="A359" s="9">
        <v>46178</v>
      </c>
      <c r="B359" s="5" t="s">
        <v>81</v>
      </c>
      <c r="C359" s="5" t="s">
        <v>82</v>
      </c>
      <c r="D359" s="5" t="s">
        <v>83</v>
      </c>
      <c r="E359" s="5" t="s">
        <v>2591</v>
      </c>
      <c r="F359" s="5">
        <f t="shared" si="21"/>
        <v>26</v>
      </c>
      <c r="G359" s="5" t="s">
        <v>19</v>
      </c>
      <c r="H359" s="5" t="s">
        <v>20</v>
      </c>
      <c r="I359" s="5" t="s">
        <v>21</v>
      </c>
      <c r="J359" s="5" t="s">
        <v>21</v>
      </c>
      <c r="K359" s="5">
        <f t="shared" si="22"/>
        <v>3</v>
      </c>
      <c r="L359" s="5">
        <f t="shared" si="23"/>
        <v>3</v>
      </c>
      <c r="M359" s="5" t="str">
        <f t="shared" si="20"/>
        <v/>
      </c>
      <c r="N359" s="5" t="s">
        <v>1544</v>
      </c>
      <c r="O359" s="5" t="s">
        <v>1623</v>
      </c>
      <c r="P359" s="5" t="s">
        <v>3180</v>
      </c>
      <c r="Q359" s="5"/>
    </row>
    <row r="360" spans="1:17">
      <c r="A360" s="9">
        <v>46178</v>
      </c>
      <c r="B360" s="5" t="s">
        <v>81</v>
      </c>
      <c r="C360" s="5" t="s">
        <v>50</v>
      </c>
      <c r="D360" s="5" t="s">
        <v>3390</v>
      </c>
      <c r="E360" s="5" t="s">
        <v>2592</v>
      </c>
      <c r="F360" s="5">
        <f t="shared" si="21"/>
        <v>43</v>
      </c>
      <c r="G360" s="5" t="s">
        <v>19</v>
      </c>
      <c r="H360" s="5" t="s">
        <v>20</v>
      </c>
      <c r="I360" s="5" t="s">
        <v>21</v>
      </c>
      <c r="J360" s="5" t="s">
        <v>28</v>
      </c>
      <c r="K360" s="5">
        <f t="shared" si="22"/>
        <v>3</v>
      </c>
      <c r="L360" s="5">
        <f t="shared" si="23"/>
        <v>4</v>
      </c>
      <c r="M360" s="5" t="str">
        <f t="shared" si="20"/>
        <v/>
      </c>
      <c r="N360" s="5" t="s">
        <v>1438</v>
      </c>
      <c r="O360" s="5" t="s">
        <v>3181</v>
      </c>
      <c r="P360" s="5" t="s">
        <v>3182</v>
      </c>
      <c r="Q360" s="5" t="s">
        <v>3183</v>
      </c>
    </row>
    <row r="361" spans="1:17">
      <c r="A361" s="9">
        <v>46178</v>
      </c>
      <c r="B361" s="5" t="s">
        <v>15</v>
      </c>
      <c r="C361" s="5" t="s">
        <v>33</v>
      </c>
      <c r="D361" s="5" t="s">
        <v>34</v>
      </c>
      <c r="E361" s="5" t="s">
        <v>2593</v>
      </c>
      <c r="F361" s="5">
        <f t="shared" si="21"/>
        <v>32</v>
      </c>
      <c r="G361" s="5" t="s">
        <v>19</v>
      </c>
      <c r="H361" s="5" t="s">
        <v>20</v>
      </c>
      <c r="I361" s="5" t="s">
        <v>28</v>
      </c>
      <c r="J361" s="5" t="s">
        <v>28</v>
      </c>
      <c r="K361" s="5">
        <f t="shared" si="22"/>
        <v>4</v>
      </c>
      <c r="L361" s="5">
        <f t="shared" si="23"/>
        <v>4</v>
      </c>
      <c r="M361" s="5" t="str">
        <f t="shared" si="20"/>
        <v/>
      </c>
      <c r="N361" s="5" t="s">
        <v>1443</v>
      </c>
      <c r="O361" s="5" t="s">
        <v>1444</v>
      </c>
      <c r="P361" s="5" t="s">
        <v>1445</v>
      </c>
      <c r="Q361" s="5"/>
    </row>
    <row r="362" spans="1:17">
      <c r="A362" s="9">
        <v>46178</v>
      </c>
      <c r="B362" s="5" t="s">
        <v>1030</v>
      </c>
      <c r="C362" s="5" t="s">
        <v>3408</v>
      </c>
      <c r="D362" s="5" t="s">
        <v>1032</v>
      </c>
      <c r="E362" s="5" t="s">
        <v>2594</v>
      </c>
      <c r="F362" s="5">
        <f t="shared" si="21"/>
        <v>21</v>
      </c>
      <c r="G362" s="5" t="s">
        <v>1034</v>
      </c>
      <c r="H362" s="5" t="s">
        <v>45</v>
      </c>
      <c r="I362" s="5" t="s">
        <v>28</v>
      </c>
      <c r="J362" s="5" t="s">
        <v>21</v>
      </c>
      <c r="K362" s="5">
        <f t="shared" si="22"/>
        <v>4</v>
      </c>
      <c r="L362" s="5">
        <f t="shared" si="23"/>
        <v>3</v>
      </c>
      <c r="M362" s="5" t="str">
        <f t="shared" si="20"/>
        <v/>
      </c>
      <c r="N362" s="5" t="s">
        <v>1447</v>
      </c>
      <c r="O362" s="5" t="s">
        <v>1448</v>
      </c>
      <c r="P362" s="5" t="s">
        <v>1449</v>
      </c>
      <c r="Q362" s="5" t="s">
        <v>123</v>
      </c>
    </row>
    <row r="363" spans="1:17">
      <c r="A363" s="9">
        <v>46178</v>
      </c>
      <c r="B363" s="5" t="s">
        <v>81</v>
      </c>
      <c r="C363" s="5" t="s">
        <v>50</v>
      </c>
      <c r="D363" s="5" t="s">
        <v>3390</v>
      </c>
      <c r="E363" s="5" t="s">
        <v>2595</v>
      </c>
      <c r="F363" s="5">
        <f t="shared" si="21"/>
        <v>20</v>
      </c>
      <c r="G363" s="5" t="s">
        <v>19</v>
      </c>
      <c r="H363" s="5" t="s">
        <v>20</v>
      </c>
      <c r="I363" s="5" t="s">
        <v>21</v>
      </c>
      <c r="J363" s="5" t="s">
        <v>21</v>
      </c>
      <c r="K363" s="5">
        <f t="shared" si="22"/>
        <v>3</v>
      </c>
      <c r="L363" s="5">
        <f t="shared" si="23"/>
        <v>3</v>
      </c>
      <c r="M363" s="5" t="str">
        <f t="shared" si="20"/>
        <v/>
      </c>
      <c r="N363" s="5" t="s">
        <v>1451</v>
      </c>
      <c r="O363" s="5" t="s">
        <v>3184</v>
      </c>
      <c r="P363" s="5" t="s">
        <v>479</v>
      </c>
      <c r="Q363" s="5"/>
    </row>
    <row r="364" spans="1:17">
      <c r="A364" s="9">
        <v>46178</v>
      </c>
      <c r="B364" s="5" t="s">
        <v>81</v>
      </c>
      <c r="C364" s="5" t="s">
        <v>50</v>
      </c>
      <c r="D364" s="5" t="s">
        <v>3390</v>
      </c>
      <c r="E364" s="5" t="s">
        <v>2596</v>
      </c>
      <c r="F364" s="5">
        <f t="shared" si="21"/>
        <v>19</v>
      </c>
      <c r="G364" s="5" t="s">
        <v>107</v>
      </c>
      <c r="H364" s="5" t="s">
        <v>20</v>
      </c>
      <c r="I364" s="5" t="s">
        <v>21</v>
      </c>
      <c r="J364" s="5" t="s">
        <v>21</v>
      </c>
      <c r="K364" s="5">
        <f t="shared" si="22"/>
        <v>3</v>
      </c>
      <c r="L364" s="5">
        <f t="shared" si="23"/>
        <v>3</v>
      </c>
      <c r="M364" s="5" t="str">
        <f t="shared" si="20"/>
        <v/>
      </c>
      <c r="N364" s="5" t="s">
        <v>1454</v>
      </c>
      <c r="O364" s="5" t="s">
        <v>3185</v>
      </c>
      <c r="P364" s="5" t="s">
        <v>3186</v>
      </c>
      <c r="Q364" s="5"/>
    </row>
    <row r="365" spans="1:17">
      <c r="A365" s="9">
        <v>46178</v>
      </c>
      <c r="B365" s="5" t="s">
        <v>81</v>
      </c>
      <c r="C365" s="5" t="s">
        <v>82</v>
      </c>
      <c r="D365" s="5" t="s">
        <v>83</v>
      </c>
      <c r="E365" s="5" t="s">
        <v>2597</v>
      </c>
      <c r="F365" s="5">
        <f t="shared" si="21"/>
        <v>20</v>
      </c>
      <c r="G365" s="5" t="s">
        <v>19</v>
      </c>
      <c r="H365" s="5" t="s">
        <v>20</v>
      </c>
      <c r="I365" s="5" t="s">
        <v>21</v>
      </c>
      <c r="J365" s="5" t="s">
        <v>21</v>
      </c>
      <c r="K365" s="5">
        <f t="shared" si="22"/>
        <v>3</v>
      </c>
      <c r="L365" s="5">
        <f t="shared" si="23"/>
        <v>3</v>
      </c>
      <c r="M365" s="5" t="str">
        <f t="shared" si="20"/>
        <v/>
      </c>
      <c r="N365" s="5" t="s">
        <v>3568</v>
      </c>
      <c r="O365" s="5" t="s">
        <v>1459</v>
      </c>
      <c r="P365" s="5" t="s">
        <v>1460</v>
      </c>
      <c r="Q365" s="5"/>
    </row>
    <row r="366" spans="1:17">
      <c r="A366" s="9">
        <v>46178</v>
      </c>
      <c r="B366" s="5" t="s">
        <v>49</v>
      </c>
      <c r="C366" s="5" t="s">
        <v>50</v>
      </c>
      <c r="D366" s="5" t="s">
        <v>3381</v>
      </c>
      <c r="E366" s="5" t="s">
        <v>2598</v>
      </c>
      <c r="F366" s="5">
        <f t="shared" si="21"/>
        <v>21</v>
      </c>
      <c r="G366" s="5" t="s">
        <v>19</v>
      </c>
      <c r="H366" s="5" t="s">
        <v>20</v>
      </c>
      <c r="I366" s="5" t="s">
        <v>21</v>
      </c>
      <c r="J366" s="5" t="s">
        <v>21</v>
      </c>
      <c r="K366" s="5">
        <f t="shared" si="22"/>
        <v>3</v>
      </c>
      <c r="L366" s="5">
        <f t="shared" si="23"/>
        <v>3</v>
      </c>
      <c r="M366" s="5" t="str">
        <f t="shared" si="20"/>
        <v/>
      </c>
      <c r="N366" s="5" t="s">
        <v>3569</v>
      </c>
      <c r="O366" s="5" t="s">
        <v>3187</v>
      </c>
      <c r="P366" s="5" t="s">
        <v>3188</v>
      </c>
      <c r="Q366" s="5" t="s">
        <v>3189</v>
      </c>
    </row>
    <row r="367" spans="1:17">
      <c r="A367" s="9">
        <v>46178</v>
      </c>
      <c r="B367" s="5" t="s">
        <v>1073</v>
      </c>
      <c r="C367" s="5" t="s">
        <v>3409</v>
      </c>
      <c r="D367" s="5" t="s">
        <v>1075</v>
      </c>
      <c r="E367" s="5" t="s">
        <v>3410</v>
      </c>
      <c r="F367" s="5">
        <f t="shared" si="21"/>
        <v>28</v>
      </c>
      <c r="G367" s="5" t="s">
        <v>981</v>
      </c>
      <c r="H367" s="5" t="s">
        <v>20</v>
      </c>
      <c r="I367" s="5" t="s">
        <v>186</v>
      </c>
      <c r="J367" s="5" t="s">
        <v>21</v>
      </c>
      <c r="K367" s="5">
        <f t="shared" si="22"/>
        <v>2</v>
      </c>
      <c r="L367" s="5">
        <f t="shared" si="23"/>
        <v>3</v>
      </c>
      <c r="M367" s="5" t="str">
        <f t="shared" si="20"/>
        <v>YES</v>
      </c>
      <c r="N367" s="5" t="s">
        <v>1466</v>
      </c>
      <c r="O367" s="5" t="s">
        <v>1467</v>
      </c>
      <c r="P367" s="5" t="s">
        <v>1468</v>
      </c>
      <c r="Q367" s="5" t="s">
        <v>1469</v>
      </c>
    </row>
    <row r="368" spans="1:17">
      <c r="A368" s="9">
        <v>46178</v>
      </c>
      <c r="B368" s="5" t="s">
        <v>15</v>
      </c>
      <c r="C368" s="5" t="s">
        <v>16</v>
      </c>
      <c r="D368" s="5" t="s">
        <v>105</v>
      </c>
      <c r="E368" s="5" t="s">
        <v>2599</v>
      </c>
      <c r="F368" s="5">
        <f t="shared" si="21"/>
        <v>37</v>
      </c>
      <c r="G368" s="5" t="s">
        <v>19</v>
      </c>
      <c r="H368" s="5" t="s">
        <v>20</v>
      </c>
      <c r="I368" s="5" t="s">
        <v>28</v>
      </c>
      <c r="J368" s="5" t="s">
        <v>28</v>
      </c>
      <c r="K368" s="5">
        <f t="shared" si="22"/>
        <v>4</v>
      </c>
      <c r="L368" s="5">
        <f t="shared" si="23"/>
        <v>4</v>
      </c>
      <c r="M368" s="5" t="str">
        <f t="shared" si="20"/>
        <v/>
      </c>
      <c r="N368" s="5" t="s">
        <v>3190</v>
      </c>
      <c r="O368" s="5"/>
      <c r="P368" s="5" t="s">
        <v>3191</v>
      </c>
      <c r="Q368" s="5"/>
    </row>
    <row r="369" spans="1:17">
      <c r="A369" s="9">
        <v>46178</v>
      </c>
      <c r="B369" s="5" t="s">
        <v>81</v>
      </c>
      <c r="C369" s="5" t="s">
        <v>82</v>
      </c>
      <c r="D369" s="5" t="s">
        <v>3394</v>
      </c>
      <c r="E369" s="5" t="s">
        <v>3192</v>
      </c>
      <c r="F369" s="5">
        <f t="shared" si="21"/>
        <v>50</v>
      </c>
      <c r="G369" s="5" t="s">
        <v>19</v>
      </c>
      <c r="H369" s="5" t="s">
        <v>20</v>
      </c>
      <c r="I369" s="5" t="s">
        <v>21</v>
      </c>
      <c r="J369" s="5" t="s">
        <v>21</v>
      </c>
      <c r="K369" s="5">
        <f t="shared" si="22"/>
        <v>3</v>
      </c>
      <c r="L369" s="5">
        <f t="shared" si="23"/>
        <v>3</v>
      </c>
      <c r="M369" s="5" t="str">
        <f t="shared" si="20"/>
        <v/>
      </c>
      <c r="N369" s="5" t="s">
        <v>1474</v>
      </c>
      <c r="O369" s="5" t="s">
        <v>1475</v>
      </c>
      <c r="P369" s="5" t="s">
        <v>1476</v>
      </c>
      <c r="Q369" s="5" t="s">
        <v>1477</v>
      </c>
    </row>
    <row r="370" spans="1:17">
      <c r="A370" s="9">
        <v>46178</v>
      </c>
      <c r="B370" s="5" t="s">
        <v>81</v>
      </c>
      <c r="C370" s="5" t="s">
        <v>82</v>
      </c>
      <c r="D370" s="5" t="s">
        <v>95</v>
      </c>
      <c r="E370" s="5" t="s">
        <v>2600</v>
      </c>
      <c r="F370" s="5">
        <f t="shared" si="21"/>
        <v>22</v>
      </c>
      <c r="G370" s="5" t="s">
        <v>19</v>
      </c>
      <c r="H370" s="5" t="s">
        <v>20</v>
      </c>
      <c r="I370" s="5" t="s">
        <v>28</v>
      </c>
      <c r="J370" s="5" t="s">
        <v>28</v>
      </c>
      <c r="K370" s="5">
        <f t="shared" si="22"/>
        <v>4</v>
      </c>
      <c r="L370" s="5">
        <f t="shared" si="23"/>
        <v>4</v>
      </c>
      <c r="M370" s="5" t="str">
        <f t="shared" si="20"/>
        <v/>
      </c>
      <c r="N370" s="5" t="s">
        <v>3193</v>
      </c>
      <c r="O370" s="5" t="s">
        <v>2261</v>
      </c>
      <c r="P370" s="5" t="s">
        <v>3194</v>
      </c>
      <c r="Q370" s="5" t="s">
        <v>1482</v>
      </c>
    </row>
    <row r="371" spans="1:17">
      <c r="A371" s="9">
        <v>46178</v>
      </c>
      <c r="B371" s="5" t="s">
        <v>1030</v>
      </c>
      <c r="C371" s="5" t="s">
        <v>3408</v>
      </c>
      <c r="D371" s="5" t="s">
        <v>1061</v>
      </c>
      <c r="E371" s="5" t="s">
        <v>2601</v>
      </c>
      <c r="F371" s="5">
        <f t="shared" si="21"/>
        <v>23</v>
      </c>
      <c r="G371" s="5" t="s">
        <v>1034</v>
      </c>
      <c r="H371" s="5" t="s">
        <v>20</v>
      </c>
      <c r="I371" s="5" t="s">
        <v>21</v>
      </c>
      <c r="J371" s="5" t="s">
        <v>604</v>
      </c>
      <c r="K371" s="5">
        <f t="shared" si="22"/>
        <v>3</v>
      </c>
      <c r="L371" s="5">
        <f t="shared" si="23"/>
        <v>1</v>
      </c>
      <c r="M371" s="5" t="str">
        <f t="shared" si="20"/>
        <v/>
      </c>
      <c r="N371" s="5" t="s">
        <v>1484</v>
      </c>
      <c r="O371" s="5" t="s">
        <v>1485</v>
      </c>
      <c r="P371" s="5" t="s">
        <v>1486</v>
      </c>
      <c r="Q371" s="5" t="s">
        <v>21</v>
      </c>
    </row>
    <row r="372" spans="1:17">
      <c r="A372" s="9">
        <v>46178</v>
      </c>
      <c r="B372" s="5" t="s">
        <v>111</v>
      </c>
      <c r="C372" s="5" t="s">
        <v>112</v>
      </c>
      <c r="D372" s="5" t="s">
        <v>3385</v>
      </c>
      <c r="E372" s="5" t="s">
        <v>2602</v>
      </c>
      <c r="F372" s="5">
        <f t="shared" si="21"/>
        <v>31</v>
      </c>
      <c r="G372" s="5" t="s">
        <v>19</v>
      </c>
      <c r="H372" s="5" t="s">
        <v>45</v>
      </c>
      <c r="I372" s="5" t="s">
        <v>21</v>
      </c>
      <c r="J372" s="5" t="s">
        <v>28</v>
      </c>
      <c r="K372" s="5">
        <f t="shared" si="22"/>
        <v>3</v>
      </c>
      <c r="L372" s="5">
        <f t="shared" si="23"/>
        <v>4</v>
      </c>
      <c r="M372" s="5" t="str">
        <f t="shared" si="20"/>
        <v/>
      </c>
      <c r="N372" s="5" t="s">
        <v>3195</v>
      </c>
      <c r="O372" s="5" t="s">
        <v>3196</v>
      </c>
      <c r="P372" s="5" t="s">
        <v>3197</v>
      </c>
      <c r="Q372" s="5"/>
    </row>
    <row r="373" spans="1:17">
      <c r="A373" s="9">
        <v>46178</v>
      </c>
      <c r="B373" s="5" t="s">
        <v>81</v>
      </c>
      <c r="C373" s="5" t="s">
        <v>50</v>
      </c>
      <c r="D373" s="5" t="s">
        <v>3387</v>
      </c>
      <c r="E373" s="5" t="s">
        <v>2603</v>
      </c>
      <c r="F373" s="5">
        <f t="shared" si="21"/>
        <v>29</v>
      </c>
      <c r="G373" s="5" t="s">
        <v>19</v>
      </c>
      <c r="H373" s="5" t="s">
        <v>20</v>
      </c>
      <c r="I373" s="5" t="s">
        <v>21</v>
      </c>
      <c r="J373" s="5" t="s">
        <v>21</v>
      </c>
      <c r="K373" s="5">
        <f t="shared" si="22"/>
        <v>3</v>
      </c>
      <c r="L373" s="5">
        <f t="shared" si="23"/>
        <v>3</v>
      </c>
      <c r="M373" s="5" t="str">
        <f t="shared" si="20"/>
        <v/>
      </c>
      <c r="N373" s="5" t="s">
        <v>3570</v>
      </c>
      <c r="O373" s="5" t="s">
        <v>1493</v>
      </c>
      <c r="P373" s="5" t="s">
        <v>1494</v>
      </c>
      <c r="Q373" s="5"/>
    </row>
    <row r="374" spans="1:17">
      <c r="A374" s="9">
        <v>46178</v>
      </c>
      <c r="B374" s="5" t="s">
        <v>15</v>
      </c>
      <c r="C374" s="5" t="s">
        <v>16</v>
      </c>
      <c r="D374" s="5" t="s">
        <v>17</v>
      </c>
      <c r="E374" s="5" t="s">
        <v>2604</v>
      </c>
      <c r="F374" s="5">
        <f t="shared" si="21"/>
        <v>21</v>
      </c>
      <c r="G374" s="5" t="s">
        <v>19</v>
      </c>
      <c r="H374" s="5" t="s">
        <v>20</v>
      </c>
      <c r="I374" s="5" t="s">
        <v>21</v>
      </c>
      <c r="J374" s="5" t="s">
        <v>21</v>
      </c>
      <c r="K374" s="5">
        <f t="shared" si="22"/>
        <v>3</v>
      </c>
      <c r="L374" s="5">
        <f t="shared" si="23"/>
        <v>3</v>
      </c>
      <c r="M374" s="5" t="str">
        <f t="shared" si="20"/>
        <v/>
      </c>
      <c r="N374" s="5" t="s">
        <v>3198</v>
      </c>
      <c r="O374" s="5" t="s">
        <v>3571</v>
      </c>
      <c r="P374" s="5" t="s">
        <v>1498</v>
      </c>
      <c r="Q374" s="5"/>
    </row>
    <row r="375" spans="1:17">
      <c r="A375" s="9">
        <v>46178</v>
      </c>
      <c r="B375" s="5" t="s">
        <v>150</v>
      </c>
      <c r="C375" s="5" t="s">
        <v>3389</v>
      </c>
      <c r="D375" s="5" t="s">
        <v>150</v>
      </c>
      <c r="E375" s="5" t="s">
        <v>2605</v>
      </c>
      <c r="F375" s="5">
        <f t="shared" si="21"/>
        <v>26</v>
      </c>
      <c r="G375" s="5" t="s">
        <v>19</v>
      </c>
      <c r="H375" s="5" t="s">
        <v>20</v>
      </c>
      <c r="I375" s="5" t="s">
        <v>21</v>
      </c>
      <c r="J375" s="5" t="s">
        <v>28</v>
      </c>
      <c r="K375" s="5">
        <f t="shared" si="22"/>
        <v>3</v>
      </c>
      <c r="L375" s="5">
        <f t="shared" si="23"/>
        <v>4</v>
      </c>
      <c r="M375" s="5" t="str">
        <f t="shared" si="20"/>
        <v/>
      </c>
      <c r="N375" s="5" t="s">
        <v>1500</v>
      </c>
      <c r="O375" s="5" t="s">
        <v>724</v>
      </c>
      <c r="P375" s="5" t="s">
        <v>1501</v>
      </c>
      <c r="Q375" s="5"/>
    </row>
    <row r="376" spans="1:17">
      <c r="A376" s="9">
        <v>46178</v>
      </c>
      <c r="B376" s="5" t="s">
        <v>1030</v>
      </c>
      <c r="C376" s="5" t="s">
        <v>3408</v>
      </c>
      <c r="D376" s="5" t="s">
        <v>1061</v>
      </c>
      <c r="E376" s="5" t="s">
        <v>2606</v>
      </c>
      <c r="F376" s="5">
        <f t="shared" si="21"/>
        <v>33</v>
      </c>
      <c r="G376" s="5" t="s">
        <v>981</v>
      </c>
      <c r="H376" s="5" t="s">
        <v>20</v>
      </c>
      <c r="I376" s="5" t="s">
        <v>21</v>
      </c>
      <c r="J376" s="5" t="s">
        <v>21</v>
      </c>
      <c r="K376" s="5">
        <f t="shared" si="22"/>
        <v>3</v>
      </c>
      <c r="L376" s="5">
        <f t="shared" si="23"/>
        <v>3</v>
      </c>
      <c r="M376" s="5" t="str">
        <f t="shared" si="20"/>
        <v/>
      </c>
      <c r="N376" s="5" t="s">
        <v>3199</v>
      </c>
      <c r="O376" s="5" t="s">
        <v>1504</v>
      </c>
      <c r="P376" s="5" t="s">
        <v>1505</v>
      </c>
      <c r="Q376" s="5" t="s">
        <v>123</v>
      </c>
    </row>
    <row r="377" spans="1:17">
      <c r="A377" s="9">
        <v>46178</v>
      </c>
      <c r="B377" s="5" t="s">
        <v>15</v>
      </c>
      <c r="C377" s="5" t="s">
        <v>16</v>
      </c>
      <c r="D377" s="5" t="s">
        <v>1064</v>
      </c>
      <c r="E377" s="5" t="s">
        <v>2607</v>
      </c>
      <c r="F377" s="5">
        <f t="shared" si="21"/>
        <v>29</v>
      </c>
      <c r="G377" s="5" t="s">
        <v>19</v>
      </c>
      <c r="H377" s="5" t="s">
        <v>20</v>
      </c>
      <c r="I377" s="5" t="s">
        <v>28</v>
      </c>
      <c r="J377" s="5" t="s">
        <v>21</v>
      </c>
      <c r="K377" s="5">
        <f t="shared" si="22"/>
        <v>4</v>
      </c>
      <c r="L377" s="5">
        <f t="shared" si="23"/>
        <v>3</v>
      </c>
      <c r="M377" s="5" t="str">
        <f t="shared" si="20"/>
        <v/>
      </c>
      <c r="N377" s="5" t="s">
        <v>3200</v>
      </c>
      <c r="O377" s="5" t="s">
        <v>3201</v>
      </c>
      <c r="P377" s="5" t="s">
        <v>3202</v>
      </c>
      <c r="Q377" s="5" t="s">
        <v>3203</v>
      </c>
    </row>
    <row r="378" spans="1:17">
      <c r="A378" s="9">
        <v>46178</v>
      </c>
      <c r="B378" s="5" t="s">
        <v>15</v>
      </c>
      <c r="C378" s="5" t="s">
        <v>16</v>
      </c>
      <c r="D378" s="5" t="s">
        <v>1064</v>
      </c>
      <c r="E378" s="5" t="s">
        <v>2390</v>
      </c>
      <c r="F378" s="5">
        <f t="shared" si="21"/>
        <v>20</v>
      </c>
      <c r="G378" s="5" t="s">
        <v>19</v>
      </c>
      <c r="H378" s="5" t="s">
        <v>20</v>
      </c>
      <c r="I378" s="5" t="s">
        <v>21</v>
      </c>
      <c r="J378" s="5" t="s">
        <v>21</v>
      </c>
      <c r="K378" s="5">
        <f t="shared" si="22"/>
        <v>3</v>
      </c>
      <c r="L378" s="5">
        <f t="shared" si="23"/>
        <v>3</v>
      </c>
      <c r="M378" s="5" t="str">
        <f t="shared" si="20"/>
        <v/>
      </c>
      <c r="N378" s="5" t="s">
        <v>1512</v>
      </c>
      <c r="O378" s="5" t="s">
        <v>1513</v>
      </c>
      <c r="P378" s="5" t="s">
        <v>1514</v>
      </c>
      <c r="Q378" s="5"/>
    </row>
    <row r="379" spans="1:17">
      <c r="A379" s="9">
        <v>46178</v>
      </c>
      <c r="B379" s="5" t="s">
        <v>81</v>
      </c>
      <c r="C379" s="5" t="s">
        <v>82</v>
      </c>
      <c r="D379" s="5" t="s">
        <v>3391</v>
      </c>
      <c r="E379" s="5" t="s">
        <v>2608</v>
      </c>
      <c r="F379" s="5">
        <f t="shared" si="21"/>
        <v>42</v>
      </c>
      <c r="G379" s="5" t="s">
        <v>19</v>
      </c>
      <c r="H379" s="5" t="s">
        <v>20</v>
      </c>
      <c r="I379" s="5" t="s">
        <v>28</v>
      </c>
      <c r="J379" s="5" t="s">
        <v>28</v>
      </c>
      <c r="K379" s="5">
        <f t="shared" si="22"/>
        <v>4</v>
      </c>
      <c r="L379" s="5">
        <f t="shared" si="23"/>
        <v>4</v>
      </c>
      <c r="M379" s="5" t="str">
        <f t="shared" si="20"/>
        <v/>
      </c>
      <c r="N379" s="5" t="s">
        <v>1598</v>
      </c>
      <c r="O379" s="5" t="s">
        <v>3572</v>
      </c>
      <c r="P379" s="5" t="s">
        <v>2759</v>
      </c>
      <c r="Q379" s="5"/>
    </row>
    <row r="380" spans="1:17">
      <c r="A380" s="9">
        <v>46178</v>
      </c>
      <c r="B380" s="5" t="s">
        <v>15</v>
      </c>
      <c r="C380" s="5" t="s">
        <v>16</v>
      </c>
      <c r="D380" s="5" t="s">
        <v>105</v>
      </c>
      <c r="E380" s="5" t="s">
        <v>2609</v>
      </c>
      <c r="F380" s="5">
        <f t="shared" si="21"/>
        <v>23</v>
      </c>
      <c r="G380" s="5" t="s">
        <v>107</v>
      </c>
      <c r="H380" s="5" t="s">
        <v>45</v>
      </c>
      <c r="I380" s="5" t="s">
        <v>604</v>
      </c>
      <c r="J380" s="5" t="s">
        <v>604</v>
      </c>
      <c r="K380" s="5">
        <f t="shared" si="22"/>
        <v>1</v>
      </c>
      <c r="L380" s="5">
        <f t="shared" si="23"/>
        <v>1</v>
      </c>
      <c r="M380" s="5" t="str">
        <f t="shared" si="20"/>
        <v>YES</v>
      </c>
      <c r="N380" s="5" t="s">
        <v>3573</v>
      </c>
      <c r="O380" s="5" t="s">
        <v>3574</v>
      </c>
      <c r="P380" s="5" t="s">
        <v>1522</v>
      </c>
      <c r="Q380" s="5"/>
    </row>
    <row r="381" spans="1:17">
      <c r="A381" s="9">
        <v>46178</v>
      </c>
      <c r="B381" s="5" t="s">
        <v>1030</v>
      </c>
      <c r="C381" s="5" t="s">
        <v>3408</v>
      </c>
      <c r="D381" s="5" t="s">
        <v>1061</v>
      </c>
      <c r="E381" s="5" t="s">
        <v>2610</v>
      </c>
      <c r="F381" s="5">
        <f t="shared" si="21"/>
        <v>43</v>
      </c>
      <c r="G381" s="5" t="s">
        <v>981</v>
      </c>
      <c r="H381" s="5" t="s">
        <v>20</v>
      </c>
      <c r="I381" s="5" t="s">
        <v>28</v>
      </c>
      <c r="J381" s="5" t="s">
        <v>21</v>
      </c>
      <c r="K381" s="5">
        <f t="shared" si="22"/>
        <v>4</v>
      </c>
      <c r="L381" s="5">
        <f t="shared" si="23"/>
        <v>3</v>
      </c>
      <c r="M381" s="5" t="str">
        <f t="shared" si="20"/>
        <v/>
      </c>
      <c r="N381" s="5" t="s">
        <v>1524</v>
      </c>
      <c r="O381" s="5" t="s">
        <v>1525</v>
      </c>
      <c r="P381" s="5" t="s">
        <v>1526</v>
      </c>
      <c r="Q381" s="5" t="s">
        <v>1527</v>
      </c>
    </row>
    <row r="382" spans="1:17">
      <c r="A382" s="9">
        <v>46178</v>
      </c>
      <c r="B382" s="5" t="s">
        <v>81</v>
      </c>
      <c r="C382" s="5" t="s">
        <v>82</v>
      </c>
      <c r="D382" s="5" t="s">
        <v>83</v>
      </c>
      <c r="E382" s="5" t="s">
        <v>2611</v>
      </c>
      <c r="F382" s="5">
        <f t="shared" si="21"/>
        <v>53</v>
      </c>
      <c r="G382" s="5" t="s">
        <v>19</v>
      </c>
      <c r="H382" s="5" t="s">
        <v>20</v>
      </c>
      <c r="I382" s="5" t="s">
        <v>21</v>
      </c>
      <c r="J382" s="5" t="s">
        <v>28</v>
      </c>
      <c r="K382" s="5">
        <f t="shared" si="22"/>
        <v>3</v>
      </c>
      <c r="L382" s="5">
        <f t="shared" si="23"/>
        <v>4</v>
      </c>
      <c r="M382" s="5" t="str">
        <f t="shared" si="20"/>
        <v/>
      </c>
      <c r="N382" s="5" t="s">
        <v>1529</v>
      </c>
      <c r="O382" s="5" t="s">
        <v>55</v>
      </c>
      <c r="P382" s="5" t="s">
        <v>926</v>
      </c>
      <c r="Q382" s="5"/>
    </row>
    <row r="383" spans="1:17">
      <c r="A383" s="9">
        <v>46178</v>
      </c>
      <c r="B383" s="5" t="s">
        <v>25</v>
      </c>
      <c r="C383" s="5" t="s">
        <v>3380</v>
      </c>
      <c r="D383" s="5" t="s">
        <v>25</v>
      </c>
      <c r="E383" s="5" t="s">
        <v>2800</v>
      </c>
      <c r="F383" s="5">
        <f t="shared" si="21"/>
        <v>39</v>
      </c>
      <c r="G383" s="5" t="s">
        <v>19</v>
      </c>
      <c r="H383" s="5" t="s">
        <v>45</v>
      </c>
      <c r="I383" s="5" t="s">
        <v>28</v>
      </c>
      <c r="J383" s="5" t="s">
        <v>28</v>
      </c>
      <c r="K383" s="5">
        <f t="shared" si="22"/>
        <v>4</v>
      </c>
      <c r="L383" s="5">
        <f t="shared" si="23"/>
        <v>4</v>
      </c>
      <c r="M383" s="5" t="str">
        <f t="shared" si="20"/>
        <v/>
      </c>
      <c r="N383" s="5" t="s">
        <v>3204</v>
      </c>
      <c r="O383" s="5" t="s">
        <v>3205</v>
      </c>
      <c r="P383" s="5" t="s">
        <v>2821</v>
      </c>
      <c r="Q383" s="5"/>
    </row>
    <row r="384" spans="1:17">
      <c r="A384" s="9">
        <v>46178</v>
      </c>
      <c r="B384" s="5" t="s">
        <v>15</v>
      </c>
      <c r="C384" s="5" t="s">
        <v>16</v>
      </c>
      <c r="D384" s="5" t="s">
        <v>1064</v>
      </c>
      <c r="E384" s="5" t="s">
        <v>2612</v>
      </c>
      <c r="F384" s="5">
        <f t="shared" si="21"/>
        <v>22</v>
      </c>
      <c r="G384" s="5" t="s">
        <v>19</v>
      </c>
      <c r="H384" s="5" t="s">
        <v>20</v>
      </c>
      <c r="I384" s="5" t="s">
        <v>28</v>
      </c>
      <c r="J384" s="5" t="s">
        <v>28</v>
      </c>
      <c r="K384" s="5">
        <f t="shared" si="22"/>
        <v>4</v>
      </c>
      <c r="L384" s="5">
        <f t="shared" si="23"/>
        <v>4</v>
      </c>
      <c r="M384" s="5" t="str">
        <f t="shared" si="20"/>
        <v/>
      </c>
      <c r="N384" s="5" t="s">
        <v>3206</v>
      </c>
      <c r="O384" s="5" t="s">
        <v>1623</v>
      </c>
      <c r="P384" s="5" t="s">
        <v>3207</v>
      </c>
      <c r="Q384" s="5"/>
    </row>
    <row r="385" spans="1:17">
      <c r="A385" s="9">
        <v>46178</v>
      </c>
      <c r="B385" s="5" t="s">
        <v>1030</v>
      </c>
      <c r="C385" s="5" t="s">
        <v>3408</v>
      </c>
      <c r="D385" s="5" t="s">
        <v>1061</v>
      </c>
      <c r="E385" s="5" t="s">
        <v>2613</v>
      </c>
      <c r="F385" s="5">
        <f t="shared" si="21"/>
        <v>23</v>
      </c>
      <c r="G385" s="5" t="s">
        <v>1034</v>
      </c>
      <c r="H385" s="5" t="s">
        <v>20</v>
      </c>
      <c r="I385" s="5" t="s">
        <v>21</v>
      </c>
      <c r="J385" s="5" t="s">
        <v>21</v>
      </c>
      <c r="K385" s="5">
        <f t="shared" si="22"/>
        <v>3</v>
      </c>
      <c r="L385" s="5">
        <f t="shared" si="23"/>
        <v>3</v>
      </c>
      <c r="M385" s="5" t="str">
        <f t="shared" si="20"/>
        <v/>
      </c>
      <c r="N385" s="5" t="s">
        <v>1540</v>
      </c>
      <c r="O385" s="5" t="s">
        <v>1541</v>
      </c>
      <c r="P385" s="5" t="s">
        <v>1542</v>
      </c>
      <c r="Q385" s="5" t="s">
        <v>21</v>
      </c>
    </row>
    <row r="386" spans="1:17">
      <c r="A386" s="9">
        <v>46178</v>
      </c>
      <c r="B386" s="5" t="s">
        <v>15</v>
      </c>
      <c r="C386" s="5" t="s">
        <v>16</v>
      </c>
      <c r="D386" s="5" t="s">
        <v>663</v>
      </c>
      <c r="E386" s="5" t="s">
        <v>2614</v>
      </c>
      <c r="F386" s="5">
        <f t="shared" si="21"/>
        <v>24</v>
      </c>
      <c r="G386" s="5" t="s">
        <v>107</v>
      </c>
      <c r="H386" s="5" t="s">
        <v>20</v>
      </c>
      <c r="I386" s="5" t="s">
        <v>21</v>
      </c>
      <c r="J386" s="5" t="s">
        <v>21</v>
      </c>
      <c r="K386" s="5">
        <f t="shared" si="22"/>
        <v>3</v>
      </c>
      <c r="L386" s="5">
        <f t="shared" si="23"/>
        <v>3</v>
      </c>
      <c r="M386" s="5" t="str">
        <f t="shared" ref="M386:M449" si="24">IF(OR(I386="Poor",I386="Very Poor"),"YES","")</f>
        <v/>
      </c>
      <c r="N386" s="5" t="s">
        <v>1544</v>
      </c>
      <c r="O386" s="5" t="s">
        <v>1343</v>
      </c>
      <c r="P386" s="5"/>
      <c r="Q386" s="5"/>
    </row>
    <row r="387" spans="1:17">
      <c r="A387" s="9">
        <v>46178</v>
      </c>
      <c r="B387" s="5" t="s">
        <v>1030</v>
      </c>
      <c r="C387" s="5" t="s">
        <v>3408</v>
      </c>
      <c r="D387" s="5" t="s">
        <v>1061</v>
      </c>
      <c r="E387" s="5" t="s">
        <v>2615</v>
      </c>
      <c r="F387" s="5">
        <f t="shared" ref="F387:F450" si="25">LEN(E387)</f>
        <v>21</v>
      </c>
      <c r="G387" s="5" t="s">
        <v>1034</v>
      </c>
      <c r="H387" s="5" t="s">
        <v>20</v>
      </c>
      <c r="I387" s="5" t="s">
        <v>21</v>
      </c>
      <c r="J387" s="5" t="s">
        <v>21</v>
      </c>
      <c r="K387" s="5">
        <f t="shared" ref="K387:K450" si="26">IF(I387="Very Good",4,IF(I387="Good",3,IF(I387="Poor",2,IF(I387="Very Poor",1,""))))</f>
        <v>3</v>
      </c>
      <c r="L387" s="5">
        <f t="shared" ref="L387:L450" si="27">IF(J387="Very Good",4,IF(J387="Good",3,IF(J387="Poor",2,IF(J387="Very Poor",1,""))))</f>
        <v>3</v>
      </c>
      <c r="M387" s="5" t="str">
        <f t="shared" si="24"/>
        <v/>
      </c>
      <c r="N387" s="5" t="s">
        <v>1546</v>
      </c>
      <c r="O387" s="5" t="s">
        <v>1547</v>
      </c>
      <c r="P387" s="5" t="s">
        <v>1548</v>
      </c>
      <c r="Q387" s="5"/>
    </row>
    <row r="388" spans="1:17">
      <c r="A388" s="9">
        <v>46178</v>
      </c>
      <c r="B388" s="5" t="s">
        <v>1030</v>
      </c>
      <c r="C388" s="5" t="s">
        <v>3408</v>
      </c>
      <c r="D388" s="5" t="s">
        <v>1061</v>
      </c>
      <c r="E388" s="5" t="s">
        <v>2616</v>
      </c>
      <c r="F388" s="5">
        <f t="shared" si="25"/>
        <v>22</v>
      </c>
      <c r="G388" s="5" t="s">
        <v>981</v>
      </c>
      <c r="H388" s="5" t="s">
        <v>20</v>
      </c>
      <c r="I388" s="5" t="s">
        <v>21</v>
      </c>
      <c r="J388" s="5" t="s">
        <v>21</v>
      </c>
      <c r="K388" s="5">
        <f t="shared" si="26"/>
        <v>3</v>
      </c>
      <c r="L388" s="5">
        <f t="shared" si="27"/>
        <v>3</v>
      </c>
      <c r="M388" s="5" t="str">
        <f t="shared" si="24"/>
        <v/>
      </c>
      <c r="N388" s="5" t="s">
        <v>1550</v>
      </c>
      <c r="O388" s="5" t="s">
        <v>1551</v>
      </c>
      <c r="P388" s="5" t="s">
        <v>1552</v>
      </c>
      <c r="Q388" s="5"/>
    </row>
    <row r="389" spans="1:17">
      <c r="A389" s="9">
        <v>46178</v>
      </c>
      <c r="B389" s="5" t="s">
        <v>15</v>
      </c>
      <c r="C389" s="5" t="s">
        <v>16</v>
      </c>
      <c r="D389" s="5" t="s">
        <v>105</v>
      </c>
      <c r="E389" s="5" t="s">
        <v>2617</v>
      </c>
      <c r="F389" s="5">
        <f t="shared" si="25"/>
        <v>28</v>
      </c>
      <c r="G389" s="5" t="s">
        <v>19</v>
      </c>
      <c r="H389" s="5" t="s">
        <v>20</v>
      </c>
      <c r="I389" s="5" t="s">
        <v>28</v>
      </c>
      <c r="J389" s="5" t="s">
        <v>28</v>
      </c>
      <c r="K389" s="5">
        <f t="shared" si="26"/>
        <v>4</v>
      </c>
      <c r="L389" s="5">
        <f t="shared" si="27"/>
        <v>4</v>
      </c>
      <c r="M389" s="5" t="str">
        <f t="shared" si="24"/>
        <v/>
      </c>
      <c r="N389" s="5" t="s">
        <v>3208</v>
      </c>
      <c r="O389" s="5"/>
      <c r="P389" s="5"/>
      <c r="Q389" s="5"/>
    </row>
    <row r="390" spans="1:17">
      <c r="A390" s="9">
        <v>46178</v>
      </c>
      <c r="B390" s="5" t="s">
        <v>1030</v>
      </c>
      <c r="C390" s="5" t="s">
        <v>3408</v>
      </c>
      <c r="D390" s="5" t="s">
        <v>1061</v>
      </c>
      <c r="E390" s="5" t="s">
        <v>2618</v>
      </c>
      <c r="F390" s="5">
        <f t="shared" si="25"/>
        <v>24</v>
      </c>
      <c r="G390" s="5" t="s">
        <v>981</v>
      </c>
      <c r="H390" s="5" t="s">
        <v>45</v>
      </c>
      <c r="I390" s="5" t="s">
        <v>21</v>
      </c>
      <c r="J390" s="5" t="s">
        <v>21</v>
      </c>
      <c r="K390" s="5">
        <f t="shared" si="26"/>
        <v>3</v>
      </c>
      <c r="L390" s="5">
        <f t="shared" si="27"/>
        <v>3</v>
      </c>
      <c r="M390" s="5" t="str">
        <f t="shared" si="24"/>
        <v/>
      </c>
      <c r="N390" s="5" t="s">
        <v>1556</v>
      </c>
      <c r="O390" s="5" t="s">
        <v>1557</v>
      </c>
      <c r="P390" s="5" t="s">
        <v>1558</v>
      </c>
      <c r="Q390" s="5" t="s">
        <v>123</v>
      </c>
    </row>
    <row r="391" spans="1:17">
      <c r="A391" s="9">
        <v>46178</v>
      </c>
      <c r="B391" s="5" t="s">
        <v>15</v>
      </c>
      <c r="C391" s="5" t="s">
        <v>16</v>
      </c>
      <c r="D391" s="5" t="s">
        <v>105</v>
      </c>
      <c r="E391" s="5" t="s">
        <v>2619</v>
      </c>
      <c r="F391" s="5">
        <f t="shared" si="25"/>
        <v>23</v>
      </c>
      <c r="G391" s="5" t="s">
        <v>107</v>
      </c>
      <c r="H391" s="5" t="s">
        <v>20</v>
      </c>
      <c r="I391" s="5" t="s">
        <v>28</v>
      </c>
      <c r="J391" s="5" t="s">
        <v>28</v>
      </c>
      <c r="K391" s="5">
        <f t="shared" si="26"/>
        <v>4</v>
      </c>
      <c r="L391" s="5">
        <f t="shared" si="27"/>
        <v>4</v>
      </c>
      <c r="M391" s="5" t="str">
        <f t="shared" si="24"/>
        <v/>
      </c>
      <c r="N391" s="5" t="s">
        <v>1560</v>
      </c>
      <c r="O391" s="5" t="s">
        <v>1561</v>
      </c>
      <c r="P391" s="5" t="s">
        <v>1562</v>
      </c>
      <c r="Q391" s="5"/>
    </row>
    <row r="392" spans="1:17">
      <c r="A392" s="9">
        <v>46178</v>
      </c>
      <c r="B392" s="5" t="s">
        <v>15</v>
      </c>
      <c r="C392" s="5" t="s">
        <v>16</v>
      </c>
      <c r="D392" s="5" t="s">
        <v>177</v>
      </c>
      <c r="E392" s="5" t="s">
        <v>2620</v>
      </c>
      <c r="F392" s="5">
        <f t="shared" si="25"/>
        <v>36</v>
      </c>
      <c r="G392" s="5" t="s">
        <v>19</v>
      </c>
      <c r="H392" s="5" t="s">
        <v>20</v>
      </c>
      <c r="I392" s="5" t="s">
        <v>28</v>
      </c>
      <c r="J392" s="5" t="s">
        <v>28</v>
      </c>
      <c r="K392" s="5">
        <f t="shared" si="26"/>
        <v>4</v>
      </c>
      <c r="L392" s="5">
        <f t="shared" si="27"/>
        <v>4</v>
      </c>
      <c r="M392" s="5" t="str">
        <f t="shared" si="24"/>
        <v/>
      </c>
      <c r="N392" s="5" t="s">
        <v>1564</v>
      </c>
      <c r="O392" s="5" t="s">
        <v>1565</v>
      </c>
      <c r="P392" s="5"/>
      <c r="Q392" s="5"/>
    </row>
    <row r="393" spans="1:17">
      <c r="A393" s="9">
        <v>46178</v>
      </c>
      <c r="B393" s="5" t="s">
        <v>1030</v>
      </c>
      <c r="C393" s="5" t="s">
        <v>3408</v>
      </c>
      <c r="D393" s="5" t="s">
        <v>1032</v>
      </c>
      <c r="E393" s="5" t="s">
        <v>2621</v>
      </c>
      <c r="F393" s="5">
        <f t="shared" si="25"/>
        <v>22</v>
      </c>
      <c r="G393" s="5" t="s">
        <v>1034</v>
      </c>
      <c r="H393" s="5" t="s">
        <v>20</v>
      </c>
      <c r="I393" s="5" t="s">
        <v>21</v>
      </c>
      <c r="J393" s="5" t="s">
        <v>21</v>
      </c>
      <c r="K393" s="5">
        <f t="shared" si="26"/>
        <v>3</v>
      </c>
      <c r="L393" s="5">
        <f t="shared" si="27"/>
        <v>3</v>
      </c>
      <c r="M393" s="5" t="str">
        <f t="shared" si="24"/>
        <v/>
      </c>
      <c r="N393" s="5" t="s">
        <v>1567</v>
      </c>
      <c r="O393" s="5" t="s">
        <v>1567</v>
      </c>
      <c r="P393" s="5" t="s">
        <v>1568</v>
      </c>
      <c r="Q393" s="5"/>
    </row>
    <row r="394" spans="1:17">
      <c r="A394" s="9">
        <v>46178</v>
      </c>
      <c r="B394" s="5" t="s">
        <v>15</v>
      </c>
      <c r="C394" s="5" t="s">
        <v>33</v>
      </c>
      <c r="D394" s="5" t="s">
        <v>62</v>
      </c>
      <c r="E394" s="5" t="s">
        <v>2622</v>
      </c>
      <c r="F394" s="5">
        <f t="shared" si="25"/>
        <v>35</v>
      </c>
      <c r="G394" s="5" t="s">
        <v>19</v>
      </c>
      <c r="H394" s="5" t="s">
        <v>20</v>
      </c>
      <c r="I394" s="5" t="s">
        <v>28</v>
      </c>
      <c r="J394" s="5" t="s">
        <v>21</v>
      </c>
      <c r="K394" s="5">
        <f t="shared" si="26"/>
        <v>4</v>
      </c>
      <c r="L394" s="5">
        <f t="shared" si="27"/>
        <v>3</v>
      </c>
      <c r="M394" s="5" t="str">
        <f t="shared" si="24"/>
        <v/>
      </c>
      <c r="N394" s="5" t="s">
        <v>1570</v>
      </c>
      <c r="O394" s="5" t="s">
        <v>1571</v>
      </c>
      <c r="P394" s="5" t="s">
        <v>1572</v>
      </c>
      <c r="Q394" s="5"/>
    </row>
    <row r="395" spans="1:17">
      <c r="A395" s="9">
        <v>46178</v>
      </c>
      <c r="B395" s="5" t="s">
        <v>1030</v>
      </c>
      <c r="C395" s="5" t="s">
        <v>3408</v>
      </c>
      <c r="D395" s="5" t="s">
        <v>1061</v>
      </c>
      <c r="E395" s="5" t="s">
        <v>2623</v>
      </c>
      <c r="F395" s="5">
        <f t="shared" si="25"/>
        <v>24</v>
      </c>
      <c r="G395" s="5" t="s">
        <v>981</v>
      </c>
      <c r="H395" s="5" t="s">
        <v>20</v>
      </c>
      <c r="I395" s="5" t="s">
        <v>21</v>
      </c>
      <c r="J395" s="5" t="s">
        <v>21</v>
      </c>
      <c r="K395" s="5">
        <f t="shared" si="26"/>
        <v>3</v>
      </c>
      <c r="L395" s="5">
        <f t="shared" si="27"/>
        <v>3</v>
      </c>
      <c r="M395" s="5" t="str">
        <f t="shared" si="24"/>
        <v/>
      </c>
      <c r="N395" s="5" t="s">
        <v>1574</v>
      </c>
      <c r="O395" s="5" t="s">
        <v>1575</v>
      </c>
      <c r="P395" s="5" t="s">
        <v>1576</v>
      </c>
      <c r="Q395" s="5" t="s">
        <v>1577</v>
      </c>
    </row>
    <row r="396" spans="1:17">
      <c r="A396" s="9">
        <v>46178</v>
      </c>
      <c r="B396" s="5" t="s">
        <v>15</v>
      </c>
      <c r="C396" s="5" t="s">
        <v>39</v>
      </c>
      <c r="D396" s="5" t="s">
        <v>15</v>
      </c>
      <c r="E396" s="5" t="s">
        <v>2624</v>
      </c>
      <c r="F396" s="5">
        <f t="shared" si="25"/>
        <v>27</v>
      </c>
      <c r="G396" s="5" t="s">
        <v>19</v>
      </c>
      <c r="H396" s="5" t="s">
        <v>20</v>
      </c>
      <c r="I396" s="5" t="s">
        <v>28</v>
      </c>
      <c r="J396" s="5" t="s">
        <v>28</v>
      </c>
      <c r="K396" s="5">
        <f t="shared" si="26"/>
        <v>4</v>
      </c>
      <c r="L396" s="5">
        <f t="shared" si="27"/>
        <v>4</v>
      </c>
      <c r="M396" s="5" t="str">
        <f t="shared" si="24"/>
        <v/>
      </c>
      <c r="N396" s="5" t="s">
        <v>3575</v>
      </c>
      <c r="O396" s="5" t="s">
        <v>3576</v>
      </c>
      <c r="P396" s="5" t="s">
        <v>3209</v>
      </c>
      <c r="Q396" s="5" t="s">
        <v>3577</v>
      </c>
    </row>
    <row r="397" spans="1:17">
      <c r="A397" s="9">
        <v>46178</v>
      </c>
      <c r="B397" s="5" t="s">
        <v>1030</v>
      </c>
      <c r="C397" s="5" t="s">
        <v>3408</v>
      </c>
      <c r="D397" s="5" t="s">
        <v>1061</v>
      </c>
      <c r="E397" s="5" t="s">
        <v>2625</v>
      </c>
      <c r="F397" s="5">
        <f t="shared" si="25"/>
        <v>25</v>
      </c>
      <c r="G397" s="5" t="s">
        <v>1034</v>
      </c>
      <c r="H397" s="5" t="s">
        <v>20</v>
      </c>
      <c r="I397" s="5" t="s">
        <v>28</v>
      </c>
      <c r="J397" s="5" t="s">
        <v>21</v>
      </c>
      <c r="K397" s="5">
        <f t="shared" si="26"/>
        <v>4</v>
      </c>
      <c r="L397" s="5">
        <f t="shared" si="27"/>
        <v>3</v>
      </c>
      <c r="M397" s="5" t="str">
        <f t="shared" si="24"/>
        <v/>
      </c>
      <c r="N397" s="5" t="s">
        <v>1584</v>
      </c>
      <c r="O397" s="5" t="s">
        <v>1585</v>
      </c>
      <c r="P397" s="5" t="s">
        <v>1586</v>
      </c>
      <c r="Q397" s="5" t="s">
        <v>21</v>
      </c>
    </row>
    <row r="398" spans="1:17">
      <c r="A398" s="9">
        <v>46178</v>
      </c>
      <c r="B398" s="5" t="s">
        <v>72</v>
      </c>
      <c r="C398" s="5" t="s">
        <v>3384</v>
      </c>
      <c r="D398" s="5" t="s">
        <v>72</v>
      </c>
      <c r="E398" s="5" t="s">
        <v>2626</v>
      </c>
      <c r="F398" s="5">
        <f t="shared" si="25"/>
        <v>15</v>
      </c>
      <c r="G398" s="5" t="s">
        <v>19</v>
      </c>
      <c r="H398" s="5" t="s">
        <v>45</v>
      </c>
      <c r="I398" s="5" t="s">
        <v>21</v>
      </c>
      <c r="J398" s="5" t="s">
        <v>21</v>
      </c>
      <c r="K398" s="5">
        <f t="shared" si="26"/>
        <v>3</v>
      </c>
      <c r="L398" s="5">
        <f t="shared" si="27"/>
        <v>3</v>
      </c>
      <c r="M398" s="5" t="str">
        <f t="shared" si="24"/>
        <v/>
      </c>
      <c r="N398" s="5" t="s">
        <v>1278</v>
      </c>
      <c r="O398" s="5"/>
      <c r="P398" s="5"/>
      <c r="Q398" s="5"/>
    </row>
    <row r="399" spans="1:17">
      <c r="A399" s="9">
        <v>46178</v>
      </c>
      <c r="B399" s="5" t="s">
        <v>81</v>
      </c>
      <c r="C399" s="5" t="s">
        <v>50</v>
      </c>
      <c r="D399" s="5" t="s">
        <v>3390</v>
      </c>
      <c r="E399" s="5" t="s">
        <v>2627</v>
      </c>
      <c r="F399" s="5">
        <f t="shared" si="25"/>
        <v>44</v>
      </c>
      <c r="G399" s="5" t="s">
        <v>19</v>
      </c>
      <c r="H399" s="5" t="s">
        <v>20</v>
      </c>
      <c r="I399" s="5" t="s">
        <v>21</v>
      </c>
      <c r="J399" s="5" t="s">
        <v>21</v>
      </c>
      <c r="K399" s="5">
        <f t="shared" si="26"/>
        <v>3</v>
      </c>
      <c r="L399" s="5">
        <f t="shared" si="27"/>
        <v>3</v>
      </c>
      <c r="M399" s="5" t="str">
        <f t="shared" si="24"/>
        <v/>
      </c>
      <c r="N399" s="5" t="s">
        <v>3210</v>
      </c>
      <c r="O399" s="5" t="s">
        <v>3578</v>
      </c>
      <c r="P399" s="5" t="s">
        <v>3211</v>
      </c>
      <c r="Q399" s="5" t="s">
        <v>3212</v>
      </c>
    </row>
    <row r="400" spans="1:17">
      <c r="A400" s="9">
        <v>46178</v>
      </c>
      <c r="B400" s="5" t="s">
        <v>81</v>
      </c>
      <c r="C400" s="5" t="s">
        <v>50</v>
      </c>
      <c r="D400" s="5" t="s">
        <v>3387</v>
      </c>
      <c r="E400" s="5" t="s">
        <v>2628</v>
      </c>
      <c r="F400" s="5">
        <f t="shared" si="25"/>
        <v>33</v>
      </c>
      <c r="G400" s="5" t="s">
        <v>19</v>
      </c>
      <c r="H400" s="5" t="s">
        <v>20</v>
      </c>
      <c r="I400" s="5" t="s">
        <v>21</v>
      </c>
      <c r="J400" s="5" t="s">
        <v>28</v>
      </c>
      <c r="K400" s="5">
        <f t="shared" si="26"/>
        <v>3</v>
      </c>
      <c r="L400" s="5">
        <f t="shared" si="27"/>
        <v>4</v>
      </c>
      <c r="M400" s="5" t="str">
        <f t="shared" si="24"/>
        <v/>
      </c>
      <c r="N400" s="5" t="s">
        <v>3213</v>
      </c>
      <c r="O400" s="5" t="s">
        <v>3214</v>
      </c>
      <c r="P400" s="5" t="s">
        <v>1596</v>
      </c>
      <c r="Q400" s="5"/>
    </row>
    <row r="401" spans="1:17">
      <c r="A401" s="9">
        <v>46178</v>
      </c>
      <c r="B401" s="5" t="s">
        <v>15</v>
      </c>
      <c r="C401" s="5" t="s">
        <v>16</v>
      </c>
      <c r="D401" s="5" t="s">
        <v>663</v>
      </c>
      <c r="E401" s="5" t="s">
        <v>3412</v>
      </c>
      <c r="F401" s="5">
        <f t="shared" si="25"/>
        <v>26</v>
      </c>
      <c r="G401" s="5" t="s">
        <v>107</v>
      </c>
      <c r="H401" s="5" t="s">
        <v>20</v>
      </c>
      <c r="I401" s="5" t="s">
        <v>21</v>
      </c>
      <c r="J401" s="5" t="s">
        <v>21</v>
      </c>
      <c r="K401" s="5">
        <f t="shared" si="26"/>
        <v>3</v>
      </c>
      <c r="L401" s="5">
        <f t="shared" si="27"/>
        <v>3</v>
      </c>
      <c r="M401" s="5" t="str">
        <f t="shared" si="24"/>
        <v/>
      </c>
      <c r="N401" s="5" t="s">
        <v>1598</v>
      </c>
      <c r="O401" s="5" t="s">
        <v>1599</v>
      </c>
      <c r="P401" s="5" t="s">
        <v>1600</v>
      </c>
      <c r="Q401" s="5"/>
    </row>
    <row r="402" spans="1:17">
      <c r="A402" s="9">
        <v>46178</v>
      </c>
      <c r="B402" s="5" t="s">
        <v>81</v>
      </c>
      <c r="C402" s="5" t="s">
        <v>82</v>
      </c>
      <c r="D402" s="5" t="s">
        <v>95</v>
      </c>
      <c r="E402" s="5" t="s">
        <v>2629</v>
      </c>
      <c r="F402" s="5">
        <f t="shared" si="25"/>
        <v>45</v>
      </c>
      <c r="G402" s="5" t="s">
        <v>19</v>
      </c>
      <c r="H402" s="5" t="s">
        <v>20</v>
      </c>
      <c r="I402" s="5" t="s">
        <v>21</v>
      </c>
      <c r="J402" s="5" t="s">
        <v>21</v>
      </c>
      <c r="K402" s="5">
        <f t="shared" si="26"/>
        <v>3</v>
      </c>
      <c r="L402" s="5">
        <f t="shared" si="27"/>
        <v>3</v>
      </c>
      <c r="M402" s="5" t="str">
        <f t="shared" si="24"/>
        <v/>
      </c>
      <c r="N402" s="5" t="s">
        <v>3579</v>
      </c>
      <c r="O402" s="5" t="s">
        <v>3580</v>
      </c>
      <c r="P402" s="5" t="s">
        <v>3215</v>
      </c>
      <c r="Q402" s="5"/>
    </row>
    <row r="403" spans="1:17">
      <c r="A403" s="9">
        <v>46178</v>
      </c>
      <c r="B403" s="5" t="s">
        <v>81</v>
      </c>
      <c r="C403" s="5" t="s">
        <v>82</v>
      </c>
      <c r="D403" s="5" t="s">
        <v>95</v>
      </c>
      <c r="E403" s="5" t="s">
        <v>2630</v>
      </c>
      <c r="F403" s="5">
        <f t="shared" si="25"/>
        <v>48</v>
      </c>
      <c r="G403" s="5" t="s">
        <v>19</v>
      </c>
      <c r="H403" s="5" t="s">
        <v>20</v>
      </c>
      <c r="I403" s="5" t="s">
        <v>21</v>
      </c>
      <c r="J403" s="5" t="s">
        <v>21</v>
      </c>
      <c r="K403" s="5">
        <f t="shared" si="26"/>
        <v>3</v>
      </c>
      <c r="L403" s="5">
        <f t="shared" si="27"/>
        <v>3</v>
      </c>
      <c r="M403" s="5" t="str">
        <f t="shared" si="24"/>
        <v/>
      </c>
      <c r="N403" s="5" t="s">
        <v>3216</v>
      </c>
      <c r="O403" s="5"/>
      <c r="P403" s="5"/>
      <c r="Q403" s="5"/>
    </row>
    <row r="404" spans="1:17">
      <c r="A404" s="9">
        <v>46178</v>
      </c>
      <c r="B404" s="5" t="s">
        <v>1030</v>
      </c>
      <c r="C404" s="5" t="s">
        <v>3408</v>
      </c>
      <c r="D404" s="5" t="s">
        <v>1032</v>
      </c>
      <c r="E404" s="5" t="s">
        <v>2631</v>
      </c>
      <c r="F404" s="5">
        <f t="shared" si="25"/>
        <v>23</v>
      </c>
      <c r="G404" s="5" t="s">
        <v>1034</v>
      </c>
      <c r="H404" s="5" t="s">
        <v>20</v>
      </c>
      <c r="I404" s="5" t="s">
        <v>28</v>
      </c>
      <c r="J404" s="5" t="s">
        <v>28</v>
      </c>
      <c r="K404" s="5">
        <f t="shared" si="26"/>
        <v>4</v>
      </c>
      <c r="L404" s="5">
        <f t="shared" si="27"/>
        <v>4</v>
      </c>
      <c r="M404" s="5" t="str">
        <f t="shared" si="24"/>
        <v/>
      </c>
      <c r="N404" s="5" t="s">
        <v>3581</v>
      </c>
      <c r="O404" s="5" t="s">
        <v>3217</v>
      </c>
      <c r="P404" s="5" t="s">
        <v>3413</v>
      </c>
      <c r="Q404" s="5" t="s">
        <v>1611</v>
      </c>
    </row>
    <row r="405" spans="1:17">
      <c r="A405" s="9">
        <v>46178</v>
      </c>
      <c r="B405" s="5" t="s">
        <v>72</v>
      </c>
      <c r="C405" s="5" t="s">
        <v>3384</v>
      </c>
      <c r="D405" s="5" t="s">
        <v>72</v>
      </c>
      <c r="E405" s="5" t="s">
        <v>3218</v>
      </c>
      <c r="F405" s="5">
        <f t="shared" si="25"/>
        <v>25</v>
      </c>
      <c r="G405" s="5" t="s">
        <v>19</v>
      </c>
      <c r="H405" s="5" t="s">
        <v>45</v>
      </c>
      <c r="I405" s="5" t="s">
        <v>21</v>
      </c>
      <c r="J405" s="5" t="s">
        <v>21</v>
      </c>
      <c r="K405" s="5">
        <f t="shared" si="26"/>
        <v>3</v>
      </c>
      <c r="L405" s="5">
        <f t="shared" si="27"/>
        <v>3</v>
      </c>
      <c r="M405" s="5" t="str">
        <f t="shared" si="24"/>
        <v/>
      </c>
      <c r="N405" s="5" t="s">
        <v>1613</v>
      </c>
      <c r="O405" s="5" t="s">
        <v>1614</v>
      </c>
      <c r="P405" s="5" t="s">
        <v>1615</v>
      </c>
      <c r="Q405" s="5"/>
    </row>
    <row r="406" spans="1:17">
      <c r="A406" s="9">
        <v>46178</v>
      </c>
      <c r="B406" s="5" t="s">
        <v>15</v>
      </c>
      <c r="C406" s="5" t="s">
        <v>39</v>
      </c>
      <c r="D406" s="5" t="s">
        <v>3382</v>
      </c>
      <c r="E406" s="5" t="s">
        <v>2632</v>
      </c>
      <c r="F406" s="5">
        <f t="shared" si="25"/>
        <v>33</v>
      </c>
      <c r="G406" s="5" t="s">
        <v>19</v>
      </c>
      <c r="H406" s="5" t="s">
        <v>45</v>
      </c>
      <c r="I406" s="5" t="s">
        <v>28</v>
      </c>
      <c r="J406" s="5" t="s">
        <v>28</v>
      </c>
      <c r="K406" s="5">
        <f t="shared" si="26"/>
        <v>4</v>
      </c>
      <c r="L406" s="5">
        <f t="shared" si="27"/>
        <v>4</v>
      </c>
      <c r="M406" s="5" t="str">
        <f t="shared" si="24"/>
        <v/>
      </c>
      <c r="N406" s="5" t="s">
        <v>3582</v>
      </c>
      <c r="O406" s="5" t="s">
        <v>3583</v>
      </c>
      <c r="P406" s="5" t="s">
        <v>1619</v>
      </c>
      <c r="Q406" s="5" t="s">
        <v>1620</v>
      </c>
    </row>
    <row r="407" spans="1:17">
      <c r="A407" s="9">
        <v>46178</v>
      </c>
      <c r="B407" s="5" t="s">
        <v>81</v>
      </c>
      <c r="C407" s="5" t="s">
        <v>50</v>
      </c>
      <c r="D407" s="5" t="s">
        <v>3390</v>
      </c>
      <c r="E407" s="5" t="s">
        <v>2633</v>
      </c>
      <c r="F407" s="5">
        <f t="shared" si="25"/>
        <v>50</v>
      </c>
      <c r="G407" s="5" t="s">
        <v>19</v>
      </c>
      <c r="H407" s="5" t="s">
        <v>20</v>
      </c>
      <c r="I407" s="5" t="s">
        <v>21</v>
      </c>
      <c r="J407" s="5" t="s">
        <v>21</v>
      </c>
      <c r="K407" s="5">
        <f t="shared" si="26"/>
        <v>3</v>
      </c>
      <c r="L407" s="5">
        <f t="shared" si="27"/>
        <v>3</v>
      </c>
      <c r="M407" s="5" t="str">
        <f t="shared" si="24"/>
        <v/>
      </c>
      <c r="N407" s="5" t="s">
        <v>3219</v>
      </c>
      <c r="O407" s="5" t="s">
        <v>1623</v>
      </c>
      <c r="P407" s="5" t="s">
        <v>1624</v>
      </c>
      <c r="Q407" s="5"/>
    </row>
    <row r="408" spans="1:17">
      <c r="A408" s="9">
        <v>46178</v>
      </c>
      <c r="B408" s="5" t="s">
        <v>15</v>
      </c>
      <c r="C408" s="5" t="s">
        <v>16</v>
      </c>
      <c r="D408" s="5" t="s">
        <v>177</v>
      </c>
      <c r="E408" s="5" t="s">
        <v>3220</v>
      </c>
      <c r="F408" s="5">
        <f t="shared" si="25"/>
        <v>35</v>
      </c>
      <c r="G408" s="5" t="s">
        <v>19</v>
      </c>
      <c r="H408" s="5" t="s">
        <v>20</v>
      </c>
      <c r="I408" s="5" t="s">
        <v>28</v>
      </c>
      <c r="J408" s="5" t="s">
        <v>28</v>
      </c>
      <c r="K408" s="5">
        <f t="shared" si="26"/>
        <v>4</v>
      </c>
      <c r="L408" s="5">
        <f t="shared" si="27"/>
        <v>4</v>
      </c>
      <c r="M408" s="5" t="str">
        <f t="shared" si="24"/>
        <v/>
      </c>
      <c r="N408" s="5" t="s">
        <v>3221</v>
      </c>
      <c r="O408" s="5" t="s">
        <v>2801</v>
      </c>
      <c r="P408" s="5" t="s">
        <v>100</v>
      </c>
      <c r="Q408" s="5" t="s">
        <v>2759</v>
      </c>
    </row>
    <row r="409" spans="1:17">
      <c r="A409" s="9">
        <v>46178</v>
      </c>
      <c r="B409" s="5" t="s">
        <v>15</v>
      </c>
      <c r="C409" s="5" t="s">
        <v>16</v>
      </c>
      <c r="D409" s="5" t="s">
        <v>17</v>
      </c>
      <c r="E409" s="5" t="s">
        <v>2634</v>
      </c>
      <c r="F409" s="5">
        <f t="shared" si="25"/>
        <v>30</v>
      </c>
      <c r="G409" s="5" t="s">
        <v>19</v>
      </c>
      <c r="H409" s="5" t="s">
        <v>20</v>
      </c>
      <c r="I409" s="5" t="s">
        <v>21</v>
      </c>
      <c r="J409" s="5" t="s">
        <v>21</v>
      </c>
      <c r="K409" s="5">
        <f t="shared" si="26"/>
        <v>3</v>
      </c>
      <c r="L409" s="5">
        <f t="shared" si="27"/>
        <v>3</v>
      </c>
      <c r="M409" s="5" t="str">
        <f t="shared" si="24"/>
        <v/>
      </c>
      <c r="N409" s="5" t="s">
        <v>1629</v>
      </c>
      <c r="O409" s="5" t="s">
        <v>3222</v>
      </c>
      <c r="P409" s="5" t="s">
        <v>3223</v>
      </c>
      <c r="Q409" s="5"/>
    </row>
    <row r="410" spans="1:17">
      <c r="A410" s="9">
        <v>46178</v>
      </c>
      <c r="B410" s="5" t="s">
        <v>15</v>
      </c>
      <c r="C410" s="5" t="s">
        <v>16</v>
      </c>
      <c r="D410" s="5" t="s">
        <v>1064</v>
      </c>
      <c r="E410" s="5" t="s">
        <v>2635</v>
      </c>
      <c r="F410" s="5">
        <f t="shared" si="25"/>
        <v>21</v>
      </c>
      <c r="G410" s="5" t="s">
        <v>19</v>
      </c>
      <c r="H410" s="5" t="s">
        <v>20</v>
      </c>
      <c r="I410" s="5" t="s">
        <v>28</v>
      </c>
      <c r="J410" s="5" t="s">
        <v>28</v>
      </c>
      <c r="K410" s="5">
        <f t="shared" si="26"/>
        <v>4</v>
      </c>
      <c r="L410" s="5">
        <f t="shared" si="27"/>
        <v>4</v>
      </c>
      <c r="M410" s="5" t="str">
        <f t="shared" si="24"/>
        <v/>
      </c>
      <c r="N410" s="5" t="s">
        <v>1633</v>
      </c>
      <c r="O410" s="5" t="s">
        <v>2760</v>
      </c>
      <c r="P410" s="5"/>
      <c r="Q410" s="5"/>
    </row>
    <row r="411" spans="1:17">
      <c r="A411" s="9">
        <v>46178</v>
      </c>
      <c r="B411" s="5" t="s">
        <v>1030</v>
      </c>
      <c r="C411" s="5" t="s">
        <v>3408</v>
      </c>
      <c r="D411" s="5" t="s">
        <v>1061</v>
      </c>
      <c r="E411" s="5" t="s">
        <v>2636</v>
      </c>
      <c r="F411" s="5">
        <f t="shared" si="25"/>
        <v>24</v>
      </c>
      <c r="G411" s="5" t="s">
        <v>1034</v>
      </c>
      <c r="H411" s="5" t="s">
        <v>20</v>
      </c>
      <c r="I411" s="5" t="s">
        <v>21</v>
      </c>
      <c r="J411" s="5" t="s">
        <v>21</v>
      </c>
      <c r="K411" s="5">
        <f t="shared" si="26"/>
        <v>3</v>
      </c>
      <c r="L411" s="5">
        <f t="shared" si="27"/>
        <v>3</v>
      </c>
      <c r="M411" s="5" t="str">
        <f t="shared" si="24"/>
        <v/>
      </c>
      <c r="N411" s="5" t="s">
        <v>1636</v>
      </c>
      <c r="O411" s="5" t="s">
        <v>1637</v>
      </c>
      <c r="P411" s="5" t="s">
        <v>1638</v>
      </c>
      <c r="Q411" s="5" t="s">
        <v>3584</v>
      </c>
    </row>
    <row r="412" spans="1:17">
      <c r="A412" s="9">
        <v>46178</v>
      </c>
      <c r="B412" s="5" t="s">
        <v>15</v>
      </c>
      <c r="C412" s="5" t="s">
        <v>33</v>
      </c>
      <c r="D412" s="5" t="s">
        <v>553</v>
      </c>
      <c r="E412" s="5" t="s">
        <v>2637</v>
      </c>
      <c r="F412" s="5">
        <f t="shared" si="25"/>
        <v>28</v>
      </c>
      <c r="G412" s="5" t="s">
        <v>19</v>
      </c>
      <c r="H412" s="5" t="s">
        <v>20</v>
      </c>
      <c r="I412" s="5" t="s">
        <v>21</v>
      </c>
      <c r="J412" s="5" t="s">
        <v>28</v>
      </c>
      <c r="K412" s="5">
        <f t="shared" si="26"/>
        <v>3</v>
      </c>
      <c r="L412" s="5">
        <f t="shared" si="27"/>
        <v>4</v>
      </c>
      <c r="M412" s="5" t="str">
        <f t="shared" si="24"/>
        <v/>
      </c>
      <c r="N412" s="5" t="s">
        <v>1641</v>
      </c>
      <c r="O412" s="5" t="s">
        <v>1642</v>
      </c>
      <c r="P412" s="5" t="s">
        <v>1643</v>
      </c>
      <c r="Q412" s="5" t="s">
        <v>123</v>
      </c>
    </row>
    <row r="413" spans="1:17">
      <c r="A413" s="9">
        <v>46178</v>
      </c>
      <c r="B413" s="5" t="s">
        <v>15</v>
      </c>
      <c r="C413" s="5" t="s">
        <v>39</v>
      </c>
      <c r="D413" s="5" t="s">
        <v>3382</v>
      </c>
      <c r="E413" s="5" t="s">
        <v>3414</v>
      </c>
      <c r="F413" s="5">
        <f t="shared" si="25"/>
        <v>6</v>
      </c>
      <c r="G413" s="5" t="s">
        <v>19</v>
      </c>
      <c r="H413" s="5" t="s">
        <v>20</v>
      </c>
      <c r="I413" s="5" t="s">
        <v>21</v>
      </c>
      <c r="J413" s="5" t="s">
        <v>21</v>
      </c>
      <c r="K413" s="5">
        <f t="shared" si="26"/>
        <v>3</v>
      </c>
      <c r="L413" s="5">
        <f t="shared" si="27"/>
        <v>3</v>
      </c>
      <c r="M413" s="5" t="str">
        <f t="shared" si="24"/>
        <v/>
      </c>
      <c r="N413" s="5" t="s">
        <v>1645</v>
      </c>
      <c r="O413" s="5" t="s">
        <v>1646</v>
      </c>
      <c r="P413" s="5" t="s">
        <v>1647</v>
      </c>
      <c r="Q413" s="5"/>
    </row>
    <row r="414" spans="1:17">
      <c r="A414" s="9">
        <v>46178</v>
      </c>
      <c r="B414" s="5" t="s">
        <v>1030</v>
      </c>
      <c r="C414" s="5" t="s">
        <v>3408</v>
      </c>
      <c r="D414" s="5" t="s">
        <v>1061</v>
      </c>
      <c r="E414" s="5" t="s">
        <v>3585</v>
      </c>
      <c r="F414" s="5">
        <f t="shared" si="25"/>
        <v>36</v>
      </c>
      <c r="G414" s="5" t="s">
        <v>981</v>
      </c>
      <c r="H414" s="5" t="s">
        <v>20</v>
      </c>
      <c r="I414" s="5" t="s">
        <v>21</v>
      </c>
      <c r="J414" s="5" t="s">
        <v>21</v>
      </c>
      <c r="K414" s="5">
        <f t="shared" si="26"/>
        <v>3</v>
      </c>
      <c r="L414" s="5">
        <f t="shared" si="27"/>
        <v>3</v>
      </c>
      <c r="M414" s="5" t="str">
        <f t="shared" si="24"/>
        <v/>
      </c>
      <c r="N414" s="5" t="s">
        <v>1649</v>
      </c>
      <c r="O414" s="5"/>
      <c r="P414" s="5"/>
      <c r="Q414" s="5" t="s">
        <v>123</v>
      </c>
    </row>
    <row r="415" spans="1:17">
      <c r="A415" s="9">
        <v>46178</v>
      </c>
      <c r="B415" s="5" t="s">
        <v>15</v>
      </c>
      <c r="C415" s="5" t="s">
        <v>39</v>
      </c>
      <c r="D415" s="5" t="s">
        <v>3382</v>
      </c>
      <c r="E415" s="5" t="s">
        <v>2638</v>
      </c>
      <c r="F415" s="5">
        <f t="shared" si="25"/>
        <v>20</v>
      </c>
      <c r="G415" s="5" t="s">
        <v>19</v>
      </c>
      <c r="H415" s="5" t="s">
        <v>45</v>
      </c>
      <c r="I415" s="5" t="s">
        <v>28</v>
      </c>
      <c r="J415" s="5" t="s">
        <v>28</v>
      </c>
      <c r="K415" s="5">
        <f t="shared" si="26"/>
        <v>4</v>
      </c>
      <c r="L415" s="5">
        <f t="shared" si="27"/>
        <v>4</v>
      </c>
      <c r="M415" s="5" t="str">
        <f t="shared" si="24"/>
        <v/>
      </c>
      <c r="N415" s="5" t="s">
        <v>3224</v>
      </c>
      <c r="O415" s="5" t="s">
        <v>1652</v>
      </c>
      <c r="P415" s="5" t="s">
        <v>1653</v>
      </c>
      <c r="Q415" s="5" t="s">
        <v>123</v>
      </c>
    </row>
    <row r="416" spans="1:17">
      <c r="A416" s="9">
        <v>46178</v>
      </c>
      <c r="B416" s="5" t="s">
        <v>15</v>
      </c>
      <c r="C416" s="5" t="s">
        <v>39</v>
      </c>
      <c r="D416" s="5" t="s">
        <v>3382</v>
      </c>
      <c r="E416" s="5" t="s">
        <v>2632</v>
      </c>
      <c r="F416" s="5">
        <f t="shared" si="25"/>
        <v>33</v>
      </c>
      <c r="G416" s="5" t="s">
        <v>19</v>
      </c>
      <c r="H416" s="5" t="s">
        <v>45</v>
      </c>
      <c r="I416" s="5" t="s">
        <v>28</v>
      </c>
      <c r="J416" s="5" t="s">
        <v>28</v>
      </c>
      <c r="K416" s="5">
        <f t="shared" si="26"/>
        <v>4</v>
      </c>
      <c r="L416" s="5">
        <f t="shared" si="27"/>
        <v>4</v>
      </c>
      <c r="M416" s="5" t="str">
        <f t="shared" si="24"/>
        <v/>
      </c>
      <c r="N416" s="5" t="s">
        <v>1654</v>
      </c>
      <c r="O416" s="5" t="s">
        <v>1655</v>
      </c>
      <c r="P416" s="5" t="s">
        <v>1619</v>
      </c>
      <c r="Q416" s="5" t="s">
        <v>1620</v>
      </c>
    </row>
    <row r="417" spans="1:17">
      <c r="A417" s="9">
        <v>46178</v>
      </c>
      <c r="B417" s="5" t="s">
        <v>72</v>
      </c>
      <c r="C417" s="5" t="s">
        <v>3384</v>
      </c>
      <c r="D417" s="5" t="s">
        <v>72</v>
      </c>
      <c r="E417" s="5" t="s">
        <v>2639</v>
      </c>
      <c r="F417" s="5">
        <f t="shared" si="25"/>
        <v>25</v>
      </c>
      <c r="G417" s="5" t="s">
        <v>19</v>
      </c>
      <c r="H417" s="5" t="s">
        <v>45</v>
      </c>
      <c r="I417" s="5" t="s">
        <v>28</v>
      </c>
      <c r="J417" s="5" t="s">
        <v>28</v>
      </c>
      <c r="K417" s="5">
        <f t="shared" si="26"/>
        <v>4</v>
      </c>
      <c r="L417" s="5">
        <f t="shared" si="27"/>
        <v>4</v>
      </c>
      <c r="M417" s="5" t="str">
        <f t="shared" si="24"/>
        <v/>
      </c>
      <c r="N417" s="5" t="s">
        <v>3225</v>
      </c>
      <c r="O417" s="5" t="s">
        <v>1658</v>
      </c>
      <c r="P417" s="5"/>
      <c r="Q417" s="5"/>
    </row>
    <row r="418" spans="1:17">
      <c r="A418" s="9">
        <v>46178</v>
      </c>
      <c r="B418" s="5" t="s">
        <v>15</v>
      </c>
      <c r="C418" s="5" t="s">
        <v>16</v>
      </c>
      <c r="D418" s="5" t="s">
        <v>105</v>
      </c>
      <c r="E418" s="5" t="s">
        <v>2640</v>
      </c>
      <c r="F418" s="5">
        <f t="shared" si="25"/>
        <v>13</v>
      </c>
      <c r="G418" s="5" t="s">
        <v>19</v>
      </c>
      <c r="H418" s="5" t="s">
        <v>45</v>
      </c>
      <c r="I418" s="5" t="s">
        <v>21</v>
      </c>
      <c r="J418" s="5" t="s">
        <v>28</v>
      </c>
      <c r="K418" s="5">
        <f t="shared" si="26"/>
        <v>3</v>
      </c>
      <c r="L418" s="5">
        <f t="shared" si="27"/>
        <v>4</v>
      </c>
      <c r="M418" s="5" t="str">
        <f t="shared" si="24"/>
        <v/>
      </c>
      <c r="N418" s="5" t="s">
        <v>3226</v>
      </c>
      <c r="O418" s="5" t="s">
        <v>1661</v>
      </c>
      <c r="P418" s="5" t="s">
        <v>100</v>
      </c>
      <c r="Q418" s="5"/>
    </row>
    <row r="419" spans="1:17">
      <c r="A419" s="9">
        <v>46178</v>
      </c>
      <c r="B419" s="5" t="s">
        <v>81</v>
      </c>
      <c r="C419" s="5" t="s">
        <v>50</v>
      </c>
      <c r="D419" s="5" t="s">
        <v>3381</v>
      </c>
      <c r="E419" s="5" t="s">
        <v>2641</v>
      </c>
      <c r="F419" s="5">
        <f t="shared" si="25"/>
        <v>39</v>
      </c>
      <c r="G419" s="5" t="s">
        <v>19</v>
      </c>
      <c r="H419" s="5" t="s">
        <v>45</v>
      </c>
      <c r="I419" s="5" t="s">
        <v>28</v>
      </c>
      <c r="J419" s="5" t="s">
        <v>28</v>
      </c>
      <c r="K419" s="5">
        <f t="shared" si="26"/>
        <v>4</v>
      </c>
      <c r="L419" s="5">
        <f t="shared" si="27"/>
        <v>4</v>
      </c>
      <c r="M419" s="5" t="str">
        <f t="shared" si="24"/>
        <v/>
      </c>
      <c r="N419" s="5" t="s">
        <v>3227</v>
      </c>
      <c r="O419" s="5" t="s">
        <v>3228</v>
      </c>
      <c r="P419" s="5" t="s">
        <v>3586</v>
      </c>
      <c r="Q419" s="5"/>
    </row>
    <row r="420" spans="1:17">
      <c r="A420" s="9">
        <v>46178</v>
      </c>
      <c r="B420" s="5" t="s">
        <v>81</v>
      </c>
      <c r="C420" s="5" t="s">
        <v>50</v>
      </c>
      <c r="D420" s="5" t="s">
        <v>3390</v>
      </c>
      <c r="E420" s="5" t="s">
        <v>2642</v>
      </c>
      <c r="F420" s="5">
        <f t="shared" si="25"/>
        <v>22</v>
      </c>
      <c r="G420" s="5" t="s">
        <v>19</v>
      </c>
      <c r="H420" s="5" t="s">
        <v>20</v>
      </c>
      <c r="I420" s="5" t="s">
        <v>21</v>
      </c>
      <c r="J420" s="5" t="s">
        <v>21</v>
      </c>
      <c r="K420" s="5">
        <f t="shared" si="26"/>
        <v>3</v>
      </c>
      <c r="L420" s="5">
        <f t="shared" si="27"/>
        <v>3</v>
      </c>
      <c r="M420" s="5" t="str">
        <f t="shared" si="24"/>
        <v/>
      </c>
      <c r="N420" s="5" t="s">
        <v>1667</v>
      </c>
      <c r="O420" s="5" t="s">
        <v>1668</v>
      </c>
      <c r="P420" s="5" t="s">
        <v>1669</v>
      </c>
      <c r="Q420" s="5"/>
    </row>
    <row r="421" spans="1:17">
      <c r="A421" s="9">
        <v>46178</v>
      </c>
      <c r="B421" s="5" t="s">
        <v>15</v>
      </c>
      <c r="C421" s="5" t="s">
        <v>33</v>
      </c>
      <c r="D421" s="5" t="s">
        <v>62</v>
      </c>
      <c r="E421" s="5" t="s">
        <v>2643</v>
      </c>
      <c r="F421" s="5">
        <f t="shared" si="25"/>
        <v>5</v>
      </c>
      <c r="G421" s="5" t="s">
        <v>19</v>
      </c>
      <c r="H421" s="5" t="s">
        <v>20</v>
      </c>
      <c r="I421" s="5" t="s">
        <v>21</v>
      </c>
      <c r="J421" s="5" t="s">
        <v>28</v>
      </c>
      <c r="K421" s="5">
        <f t="shared" si="26"/>
        <v>3</v>
      </c>
      <c r="L421" s="5">
        <f t="shared" si="27"/>
        <v>4</v>
      </c>
      <c r="M421" s="5" t="str">
        <f t="shared" si="24"/>
        <v/>
      </c>
      <c r="N421" s="5" t="s">
        <v>3229</v>
      </c>
      <c r="O421" s="5" t="s">
        <v>1672</v>
      </c>
      <c r="P421" s="5" t="s">
        <v>1673</v>
      </c>
      <c r="Q421" s="5"/>
    </row>
    <row r="422" spans="1:17">
      <c r="A422" s="9">
        <v>46178</v>
      </c>
      <c r="B422" s="5" t="s">
        <v>81</v>
      </c>
      <c r="C422" s="5" t="s">
        <v>82</v>
      </c>
      <c r="D422" s="5" t="s">
        <v>83</v>
      </c>
      <c r="E422" s="5" t="s">
        <v>2644</v>
      </c>
      <c r="F422" s="5">
        <f t="shared" si="25"/>
        <v>23</v>
      </c>
      <c r="G422" s="5" t="s">
        <v>19</v>
      </c>
      <c r="H422" s="5" t="s">
        <v>20</v>
      </c>
      <c r="I422" s="5" t="s">
        <v>28</v>
      </c>
      <c r="J422" s="5" t="s">
        <v>28</v>
      </c>
      <c r="K422" s="5">
        <f t="shared" si="26"/>
        <v>4</v>
      </c>
      <c r="L422" s="5">
        <f t="shared" si="27"/>
        <v>4</v>
      </c>
      <c r="M422" s="5" t="str">
        <f t="shared" si="24"/>
        <v/>
      </c>
      <c r="N422" s="5" t="s">
        <v>1675</v>
      </c>
      <c r="O422" s="5" t="s">
        <v>1676</v>
      </c>
      <c r="P422" s="5" t="s">
        <v>1677</v>
      </c>
      <c r="Q422" s="5"/>
    </row>
    <row r="423" spans="1:17">
      <c r="A423" s="9">
        <v>46178</v>
      </c>
      <c r="B423" s="5" t="s">
        <v>15</v>
      </c>
      <c r="C423" s="5" t="s">
        <v>16</v>
      </c>
      <c r="D423" s="5" t="s">
        <v>177</v>
      </c>
      <c r="E423" s="5" t="s">
        <v>2645</v>
      </c>
      <c r="F423" s="5">
        <f t="shared" si="25"/>
        <v>32</v>
      </c>
      <c r="G423" s="5" t="s">
        <v>19</v>
      </c>
      <c r="H423" s="5" t="s">
        <v>20</v>
      </c>
      <c r="I423" s="5" t="s">
        <v>28</v>
      </c>
      <c r="J423" s="5" t="s">
        <v>28</v>
      </c>
      <c r="K423" s="5">
        <f t="shared" si="26"/>
        <v>4</v>
      </c>
      <c r="L423" s="5">
        <f t="shared" si="27"/>
        <v>4</v>
      </c>
      <c r="M423" s="5" t="str">
        <f t="shared" si="24"/>
        <v/>
      </c>
      <c r="N423" s="5" t="s">
        <v>1679</v>
      </c>
      <c r="O423" s="5" t="s">
        <v>1680</v>
      </c>
      <c r="P423" s="5" t="s">
        <v>1681</v>
      </c>
      <c r="Q423" s="5"/>
    </row>
    <row r="424" spans="1:17">
      <c r="A424" s="9">
        <v>46178</v>
      </c>
      <c r="B424" s="5" t="s">
        <v>1030</v>
      </c>
      <c r="C424" s="5" t="s">
        <v>3408</v>
      </c>
      <c r="D424" s="5" t="s">
        <v>1061</v>
      </c>
      <c r="E424" s="5" t="s">
        <v>2601</v>
      </c>
      <c r="F424" s="5">
        <f t="shared" si="25"/>
        <v>23</v>
      </c>
      <c r="G424" s="5" t="s">
        <v>1034</v>
      </c>
      <c r="H424" s="5" t="s">
        <v>20</v>
      </c>
      <c r="I424" s="5" t="s">
        <v>21</v>
      </c>
      <c r="J424" s="5" t="s">
        <v>21</v>
      </c>
      <c r="K424" s="5">
        <f t="shared" si="26"/>
        <v>3</v>
      </c>
      <c r="L424" s="5">
        <f t="shared" si="27"/>
        <v>3</v>
      </c>
      <c r="M424" s="5" t="str">
        <f t="shared" si="24"/>
        <v/>
      </c>
      <c r="N424" s="5" t="s">
        <v>1682</v>
      </c>
      <c r="O424" s="5" t="s">
        <v>1683</v>
      </c>
      <c r="P424" s="5" t="s">
        <v>2802</v>
      </c>
      <c r="Q424" s="5" t="s">
        <v>1685</v>
      </c>
    </row>
    <row r="425" spans="1:17">
      <c r="A425" s="9">
        <v>46178</v>
      </c>
      <c r="B425" s="5" t="s">
        <v>1030</v>
      </c>
      <c r="C425" s="5" t="s">
        <v>3408</v>
      </c>
      <c r="D425" s="5" t="s">
        <v>1061</v>
      </c>
      <c r="E425" s="5" t="s">
        <v>2646</v>
      </c>
      <c r="F425" s="5">
        <f t="shared" si="25"/>
        <v>20</v>
      </c>
      <c r="G425" s="5" t="s">
        <v>1034</v>
      </c>
      <c r="H425" s="5" t="s">
        <v>20</v>
      </c>
      <c r="I425" s="5" t="s">
        <v>21</v>
      </c>
      <c r="J425" s="5" t="s">
        <v>21</v>
      </c>
      <c r="K425" s="5">
        <f t="shared" si="26"/>
        <v>3</v>
      </c>
      <c r="L425" s="5">
        <f t="shared" si="27"/>
        <v>3</v>
      </c>
      <c r="M425" s="5" t="str">
        <f t="shared" si="24"/>
        <v/>
      </c>
      <c r="N425" s="5" t="s">
        <v>3230</v>
      </c>
      <c r="O425" s="5" t="s">
        <v>1688</v>
      </c>
      <c r="P425" s="5" t="s">
        <v>1689</v>
      </c>
      <c r="Q425" s="5" t="s">
        <v>21</v>
      </c>
    </row>
    <row r="426" spans="1:17">
      <c r="A426" s="9">
        <v>46178</v>
      </c>
      <c r="B426" s="5" t="s">
        <v>1030</v>
      </c>
      <c r="C426" s="5" t="s">
        <v>3408</v>
      </c>
      <c r="D426" s="5" t="s">
        <v>1061</v>
      </c>
      <c r="E426" s="5" t="s">
        <v>2548</v>
      </c>
      <c r="F426" s="5">
        <f t="shared" si="25"/>
        <v>21</v>
      </c>
      <c r="G426" s="5" t="s">
        <v>981</v>
      </c>
      <c r="H426" s="5" t="s">
        <v>45</v>
      </c>
      <c r="I426" s="5" t="s">
        <v>21</v>
      </c>
      <c r="J426" s="5" t="s">
        <v>21</v>
      </c>
      <c r="K426" s="5">
        <f t="shared" si="26"/>
        <v>3</v>
      </c>
      <c r="L426" s="5">
        <f t="shared" si="27"/>
        <v>3</v>
      </c>
      <c r="M426" s="5" t="str">
        <f t="shared" si="24"/>
        <v/>
      </c>
      <c r="N426" s="5" t="s">
        <v>1690</v>
      </c>
      <c r="O426" s="5" t="s">
        <v>724</v>
      </c>
      <c r="P426" s="5" t="s">
        <v>55</v>
      </c>
      <c r="Q426" s="5"/>
    </row>
    <row r="427" spans="1:17">
      <c r="A427" s="9">
        <v>46178</v>
      </c>
      <c r="B427" s="5" t="s">
        <v>15</v>
      </c>
      <c r="C427" s="5" t="s">
        <v>16</v>
      </c>
      <c r="D427" s="5" t="s">
        <v>177</v>
      </c>
      <c r="E427" s="5" t="s">
        <v>2647</v>
      </c>
      <c r="F427" s="5">
        <f t="shared" si="25"/>
        <v>30</v>
      </c>
      <c r="G427" s="5" t="s">
        <v>19</v>
      </c>
      <c r="H427" s="5" t="s">
        <v>20</v>
      </c>
      <c r="I427" s="5" t="s">
        <v>21</v>
      </c>
      <c r="J427" s="5" t="s">
        <v>21</v>
      </c>
      <c r="K427" s="5">
        <f t="shared" si="26"/>
        <v>3</v>
      </c>
      <c r="L427" s="5">
        <f t="shared" si="27"/>
        <v>3</v>
      </c>
      <c r="M427" s="5" t="str">
        <f t="shared" si="24"/>
        <v/>
      </c>
      <c r="N427" s="5" t="s">
        <v>1692</v>
      </c>
      <c r="O427" s="5" t="s">
        <v>3415</v>
      </c>
      <c r="P427" s="5" t="s">
        <v>1694</v>
      </c>
      <c r="Q427" s="5"/>
    </row>
    <row r="428" spans="1:17">
      <c r="A428" s="9">
        <v>46178</v>
      </c>
      <c r="B428" s="5" t="s">
        <v>1073</v>
      </c>
      <c r="C428" s="5" t="s">
        <v>3409</v>
      </c>
      <c r="D428" s="5" t="s">
        <v>1075</v>
      </c>
      <c r="E428" s="5" t="s">
        <v>2648</v>
      </c>
      <c r="F428" s="5">
        <f t="shared" si="25"/>
        <v>23</v>
      </c>
      <c r="G428" s="5" t="s">
        <v>981</v>
      </c>
      <c r="H428" s="5" t="s">
        <v>20</v>
      </c>
      <c r="I428" s="5" t="s">
        <v>21</v>
      </c>
      <c r="J428" s="5" t="s">
        <v>28</v>
      </c>
      <c r="K428" s="5">
        <f t="shared" si="26"/>
        <v>3</v>
      </c>
      <c r="L428" s="5">
        <f t="shared" si="27"/>
        <v>4</v>
      </c>
      <c r="M428" s="5" t="str">
        <f t="shared" si="24"/>
        <v/>
      </c>
      <c r="N428" s="5" t="s">
        <v>1696</v>
      </c>
      <c r="O428" s="5" t="s">
        <v>1697</v>
      </c>
      <c r="P428" s="5" t="s">
        <v>1698</v>
      </c>
      <c r="Q428" s="5" t="s">
        <v>1699</v>
      </c>
    </row>
    <row r="429" spans="1:17">
      <c r="A429" s="9">
        <v>46178</v>
      </c>
      <c r="B429" s="5" t="s">
        <v>15</v>
      </c>
      <c r="C429" s="5" t="s">
        <v>16</v>
      </c>
      <c r="D429" s="5" t="s">
        <v>177</v>
      </c>
      <c r="E429" s="5" t="s">
        <v>2649</v>
      </c>
      <c r="F429" s="5">
        <f t="shared" si="25"/>
        <v>20</v>
      </c>
      <c r="G429" s="5" t="s">
        <v>19</v>
      </c>
      <c r="H429" s="5" t="s">
        <v>20</v>
      </c>
      <c r="I429" s="5" t="s">
        <v>28</v>
      </c>
      <c r="J429" s="5" t="s">
        <v>28</v>
      </c>
      <c r="K429" s="5">
        <f t="shared" si="26"/>
        <v>4</v>
      </c>
      <c r="L429" s="5">
        <f t="shared" si="27"/>
        <v>4</v>
      </c>
      <c r="M429" s="5" t="str">
        <f t="shared" si="24"/>
        <v/>
      </c>
      <c r="N429" s="5" t="s">
        <v>3231</v>
      </c>
      <c r="O429" s="5" t="s">
        <v>3232</v>
      </c>
      <c r="P429" s="5" t="s">
        <v>3587</v>
      </c>
      <c r="Q429" s="5" t="s">
        <v>2759</v>
      </c>
    </row>
    <row r="430" spans="1:17">
      <c r="A430" s="9">
        <v>46178</v>
      </c>
      <c r="B430" s="5" t="s">
        <v>81</v>
      </c>
      <c r="C430" s="5" t="s">
        <v>50</v>
      </c>
      <c r="D430" s="5" t="s">
        <v>3390</v>
      </c>
      <c r="E430" s="5" t="s">
        <v>2650</v>
      </c>
      <c r="F430" s="5">
        <f t="shared" si="25"/>
        <v>18</v>
      </c>
      <c r="G430" s="5" t="s">
        <v>981</v>
      </c>
      <c r="H430" s="5" t="s">
        <v>20</v>
      </c>
      <c r="I430" s="5" t="s">
        <v>28</v>
      </c>
      <c r="J430" s="5" t="s">
        <v>28</v>
      </c>
      <c r="K430" s="5">
        <f t="shared" si="26"/>
        <v>4</v>
      </c>
      <c r="L430" s="5">
        <f t="shared" si="27"/>
        <v>4</v>
      </c>
      <c r="M430" s="5" t="str">
        <f t="shared" si="24"/>
        <v/>
      </c>
      <c r="N430" s="5" t="s">
        <v>1705</v>
      </c>
      <c r="O430" s="5" t="s">
        <v>1706</v>
      </c>
      <c r="P430" s="5" t="s">
        <v>1707</v>
      </c>
      <c r="Q430" s="5" t="s">
        <v>1708</v>
      </c>
    </row>
    <row r="431" spans="1:17">
      <c r="A431" s="9">
        <v>46178</v>
      </c>
      <c r="B431" s="5" t="s">
        <v>1030</v>
      </c>
      <c r="C431" s="5" t="s">
        <v>3408</v>
      </c>
      <c r="D431" s="5" t="s">
        <v>1061</v>
      </c>
      <c r="E431" s="5" t="s">
        <v>2651</v>
      </c>
      <c r="F431" s="5">
        <f t="shared" si="25"/>
        <v>23</v>
      </c>
      <c r="G431" s="5" t="s">
        <v>1034</v>
      </c>
      <c r="H431" s="5" t="s">
        <v>20</v>
      </c>
      <c r="I431" s="5" t="s">
        <v>21</v>
      </c>
      <c r="J431" s="5" t="s">
        <v>21</v>
      </c>
      <c r="K431" s="5">
        <f t="shared" si="26"/>
        <v>3</v>
      </c>
      <c r="L431" s="5">
        <f t="shared" si="27"/>
        <v>3</v>
      </c>
      <c r="M431" s="5" t="str">
        <f t="shared" si="24"/>
        <v/>
      </c>
      <c r="N431" s="5" t="s">
        <v>1710</v>
      </c>
      <c r="O431" s="5" t="s">
        <v>1711</v>
      </c>
      <c r="P431" s="5" t="s">
        <v>1712</v>
      </c>
      <c r="Q431" s="5"/>
    </row>
    <row r="432" spans="1:17">
      <c r="A432" s="9">
        <v>46178</v>
      </c>
      <c r="B432" s="5" t="s">
        <v>49</v>
      </c>
      <c r="C432" s="5" t="s">
        <v>50</v>
      </c>
      <c r="D432" s="5" t="s">
        <v>3381</v>
      </c>
      <c r="E432" s="5" t="s">
        <v>2652</v>
      </c>
      <c r="F432" s="5">
        <f t="shared" si="25"/>
        <v>34</v>
      </c>
      <c r="G432" s="5" t="s">
        <v>19</v>
      </c>
      <c r="H432" s="5" t="s">
        <v>45</v>
      </c>
      <c r="I432" s="5" t="s">
        <v>28</v>
      </c>
      <c r="J432" s="5" t="s">
        <v>28</v>
      </c>
      <c r="K432" s="5">
        <f t="shared" si="26"/>
        <v>4</v>
      </c>
      <c r="L432" s="5">
        <f t="shared" si="27"/>
        <v>4</v>
      </c>
      <c r="M432" s="5" t="str">
        <f t="shared" si="24"/>
        <v/>
      </c>
      <c r="N432" s="5" t="s">
        <v>3233</v>
      </c>
      <c r="O432" s="5"/>
      <c r="P432" s="5" t="s">
        <v>3234</v>
      </c>
      <c r="Q432" s="5"/>
    </row>
    <row r="433" spans="1:17">
      <c r="A433" s="9">
        <v>46178</v>
      </c>
      <c r="B433" s="5" t="s">
        <v>15</v>
      </c>
      <c r="C433" s="5" t="s">
        <v>39</v>
      </c>
      <c r="D433" s="5" t="s">
        <v>3382</v>
      </c>
      <c r="E433" s="5" t="s">
        <v>2653</v>
      </c>
      <c r="F433" s="5">
        <f t="shared" si="25"/>
        <v>25</v>
      </c>
      <c r="G433" s="5" t="s">
        <v>19</v>
      </c>
      <c r="H433" s="5" t="s">
        <v>45</v>
      </c>
      <c r="I433" s="5" t="s">
        <v>28</v>
      </c>
      <c r="J433" s="5" t="s">
        <v>28</v>
      </c>
      <c r="K433" s="5">
        <f t="shared" si="26"/>
        <v>4</v>
      </c>
      <c r="L433" s="5">
        <f t="shared" si="27"/>
        <v>4</v>
      </c>
      <c r="M433" s="5" t="str">
        <f t="shared" si="24"/>
        <v/>
      </c>
      <c r="N433" s="5" t="s">
        <v>1717</v>
      </c>
      <c r="O433" s="5" t="s">
        <v>1718</v>
      </c>
      <c r="P433" s="5" t="s">
        <v>1719</v>
      </c>
      <c r="Q433" s="5"/>
    </row>
    <row r="434" spans="1:17">
      <c r="A434" s="9">
        <v>46178</v>
      </c>
      <c r="B434" s="5" t="s">
        <v>15</v>
      </c>
      <c r="C434" s="5" t="s">
        <v>33</v>
      </c>
      <c r="D434" s="5" t="s">
        <v>553</v>
      </c>
      <c r="E434" s="5" t="s">
        <v>2654</v>
      </c>
      <c r="F434" s="5">
        <f t="shared" si="25"/>
        <v>27</v>
      </c>
      <c r="G434" s="5" t="s">
        <v>19</v>
      </c>
      <c r="H434" s="5" t="s">
        <v>20</v>
      </c>
      <c r="I434" s="5" t="s">
        <v>28</v>
      </c>
      <c r="J434" s="5" t="s">
        <v>28</v>
      </c>
      <c r="K434" s="5">
        <f t="shared" si="26"/>
        <v>4</v>
      </c>
      <c r="L434" s="5">
        <f t="shared" si="27"/>
        <v>4</v>
      </c>
      <c r="M434" s="5" t="str">
        <f t="shared" si="24"/>
        <v/>
      </c>
      <c r="N434" s="5" t="s">
        <v>3235</v>
      </c>
      <c r="O434" s="5" t="s">
        <v>3236</v>
      </c>
      <c r="P434" s="5" t="s">
        <v>3237</v>
      </c>
      <c r="Q434" s="5"/>
    </row>
    <row r="435" spans="1:17">
      <c r="A435" s="9">
        <v>46178</v>
      </c>
      <c r="B435" s="5" t="s">
        <v>81</v>
      </c>
      <c r="C435" s="5" t="s">
        <v>50</v>
      </c>
      <c r="D435" s="5" t="s">
        <v>3381</v>
      </c>
      <c r="E435" s="5" t="s">
        <v>2803</v>
      </c>
      <c r="F435" s="5">
        <f t="shared" si="25"/>
        <v>17</v>
      </c>
      <c r="G435" s="5" t="s">
        <v>19</v>
      </c>
      <c r="H435" s="5" t="s">
        <v>20</v>
      </c>
      <c r="I435" s="5" t="s">
        <v>28</v>
      </c>
      <c r="J435" s="5" t="s">
        <v>28</v>
      </c>
      <c r="K435" s="5">
        <f t="shared" si="26"/>
        <v>4</v>
      </c>
      <c r="L435" s="5">
        <f t="shared" si="27"/>
        <v>4</v>
      </c>
      <c r="M435" s="5" t="str">
        <f t="shared" si="24"/>
        <v/>
      </c>
      <c r="N435" s="5" t="s">
        <v>3238</v>
      </c>
      <c r="O435" s="5" t="s">
        <v>3239</v>
      </c>
      <c r="P435" s="5" t="s">
        <v>3240</v>
      </c>
      <c r="Q435" s="5" t="s">
        <v>3241</v>
      </c>
    </row>
    <row r="436" spans="1:17">
      <c r="A436" s="9">
        <v>46178</v>
      </c>
      <c r="B436" s="5" t="s">
        <v>150</v>
      </c>
      <c r="C436" s="5" t="s">
        <v>3389</v>
      </c>
      <c r="D436" s="5" t="s">
        <v>150</v>
      </c>
      <c r="E436" s="5" t="s">
        <v>2655</v>
      </c>
      <c r="F436" s="5">
        <f t="shared" si="25"/>
        <v>37</v>
      </c>
      <c r="G436" s="5" t="s">
        <v>19</v>
      </c>
      <c r="H436" s="5" t="s">
        <v>45</v>
      </c>
      <c r="I436" s="5" t="s">
        <v>21</v>
      </c>
      <c r="J436" s="5" t="s">
        <v>21</v>
      </c>
      <c r="K436" s="5">
        <f t="shared" si="26"/>
        <v>3</v>
      </c>
      <c r="L436" s="5">
        <f t="shared" si="27"/>
        <v>3</v>
      </c>
      <c r="M436" s="5" t="str">
        <f t="shared" si="24"/>
        <v/>
      </c>
      <c r="N436" s="5" t="s">
        <v>3242</v>
      </c>
      <c r="O436" s="5"/>
      <c r="P436" s="5" t="s">
        <v>3243</v>
      </c>
      <c r="Q436" s="5"/>
    </row>
    <row r="437" spans="1:17">
      <c r="A437" s="9">
        <v>46178</v>
      </c>
      <c r="B437" s="5" t="s">
        <v>49</v>
      </c>
      <c r="C437" s="5" t="s">
        <v>50</v>
      </c>
      <c r="D437" s="5" t="s">
        <v>3381</v>
      </c>
      <c r="E437" s="5" t="s">
        <v>2656</v>
      </c>
      <c r="F437" s="5">
        <f t="shared" si="25"/>
        <v>23</v>
      </c>
      <c r="G437" s="5" t="s">
        <v>19</v>
      </c>
      <c r="H437" s="5" t="s">
        <v>20</v>
      </c>
      <c r="I437" s="5" t="s">
        <v>21</v>
      </c>
      <c r="J437" s="5" t="s">
        <v>21</v>
      </c>
      <c r="K437" s="5">
        <f t="shared" si="26"/>
        <v>3</v>
      </c>
      <c r="L437" s="5">
        <f t="shared" si="27"/>
        <v>3</v>
      </c>
      <c r="M437" s="5" t="str">
        <f t="shared" si="24"/>
        <v/>
      </c>
      <c r="N437" s="5" t="s">
        <v>1733</v>
      </c>
      <c r="O437" s="5" t="s">
        <v>3588</v>
      </c>
      <c r="P437" s="5"/>
      <c r="Q437" s="5"/>
    </row>
    <row r="438" spans="1:17">
      <c r="A438" s="9">
        <v>46178</v>
      </c>
      <c r="B438" s="5" t="s">
        <v>81</v>
      </c>
      <c r="C438" s="5" t="s">
        <v>50</v>
      </c>
      <c r="D438" s="5" t="s">
        <v>3381</v>
      </c>
      <c r="E438" s="5" t="s">
        <v>2803</v>
      </c>
      <c r="F438" s="5">
        <f t="shared" si="25"/>
        <v>17</v>
      </c>
      <c r="G438" s="5" t="s">
        <v>19</v>
      </c>
      <c r="H438" s="5" t="s">
        <v>20</v>
      </c>
      <c r="I438" s="5" t="s">
        <v>28</v>
      </c>
      <c r="J438" s="5" t="s">
        <v>28</v>
      </c>
      <c r="K438" s="5">
        <f t="shared" si="26"/>
        <v>4</v>
      </c>
      <c r="L438" s="5">
        <f t="shared" si="27"/>
        <v>4</v>
      </c>
      <c r="M438" s="5" t="str">
        <f t="shared" si="24"/>
        <v/>
      </c>
      <c r="N438" s="5" t="s">
        <v>3238</v>
      </c>
      <c r="O438" s="5" t="s">
        <v>3416</v>
      </c>
      <c r="P438" s="5" t="s">
        <v>3240</v>
      </c>
      <c r="Q438" s="5" t="s">
        <v>3241</v>
      </c>
    </row>
    <row r="439" spans="1:17">
      <c r="A439" s="9">
        <v>46178</v>
      </c>
      <c r="B439" s="5" t="s">
        <v>1030</v>
      </c>
      <c r="C439" s="5" t="s">
        <v>3408</v>
      </c>
      <c r="D439" s="5" t="s">
        <v>1061</v>
      </c>
      <c r="E439" s="5" t="s">
        <v>2657</v>
      </c>
      <c r="F439" s="5">
        <f t="shared" si="25"/>
        <v>31</v>
      </c>
      <c r="G439" s="5" t="s">
        <v>981</v>
      </c>
      <c r="H439" s="5" t="s">
        <v>20</v>
      </c>
      <c r="I439" s="5" t="s">
        <v>21</v>
      </c>
      <c r="J439" s="5" t="s">
        <v>21</v>
      </c>
      <c r="K439" s="5">
        <f t="shared" si="26"/>
        <v>3</v>
      </c>
      <c r="L439" s="5">
        <f t="shared" si="27"/>
        <v>3</v>
      </c>
      <c r="M439" s="5" t="str">
        <f t="shared" si="24"/>
        <v/>
      </c>
      <c r="N439" s="5" t="s">
        <v>3244</v>
      </c>
      <c r="O439" s="5" t="s">
        <v>3245</v>
      </c>
      <c r="P439" s="5" t="s">
        <v>1739</v>
      </c>
      <c r="Q439" s="5"/>
    </row>
    <row r="440" spans="1:17">
      <c r="A440" s="9">
        <v>46178</v>
      </c>
      <c r="B440" s="5" t="s">
        <v>15</v>
      </c>
      <c r="C440" s="5" t="s">
        <v>16</v>
      </c>
      <c r="D440" s="5" t="s">
        <v>663</v>
      </c>
      <c r="E440" s="5" t="s">
        <v>2658</v>
      </c>
      <c r="F440" s="5">
        <f t="shared" si="25"/>
        <v>22</v>
      </c>
      <c r="G440" s="5" t="s">
        <v>107</v>
      </c>
      <c r="H440" s="5" t="s">
        <v>20</v>
      </c>
      <c r="I440" s="5" t="s">
        <v>21</v>
      </c>
      <c r="J440" s="5" t="s">
        <v>21</v>
      </c>
      <c r="K440" s="5">
        <f t="shared" si="26"/>
        <v>3</v>
      </c>
      <c r="L440" s="5">
        <f t="shared" si="27"/>
        <v>3</v>
      </c>
      <c r="M440" s="5" t="str">
        <f t="shared" si="24"/>
        <v/>
      </c>
      <c r="N440" s="5" t="s">
        <v>1741</v>
      </c>
      <c r="O440" s="5" t="s">
        <v>2804</v>
      </c>
      <c r="P440" s="5" t="s">
        <v>2805</v>
      </c>
      <c r="Q440" s="5"/>
    </row>
    <row r="441" spans="1:17">
      <c r="A441" s="9">
        <v>46178</v>
      </c>
      <c r="B441" s="5" t="s">
        <v>111</v>
      </c>
      <c r="C441" s="5" t="s">
        <v>112</v>
      </c>
      <c r="D441" s="5" t="s">
        <v>3385</v>
      </c>
      <c r="E441" s="5" t="s">
        <v>2659</v>
      </c>
      <c r="F441" s="5">
        <f t="shared" si="25"/>
        <v>27</v>
      </c>
      <c r="G441" s="5" t="s">
        <v>19</v>
      </c>
      <c r="H441" s="5" t="s">
        <v>45</v>
      </c>
      <c r="I441" s="5" t="s">
        <v>28</v>
      </c>
      <c r="J441" s="5" t="s">
        <v>28</v>
      </c>
      <c r="K441" s="5">
        <f t="shared" si="26"/>
        <v>4</v>
      </c>
      <c r="L441" s="5">
        <f t="shared" si="27"/>
        <v>4</v>
      </c>
      <c r="M441" s="5" t="str">
        <f t="shared" si="24"/>
        <v/>
      </c>
      <c r="N441" s="5" t="s">
        <v>3246</v>
      </c>
      <c r="O441" s="5"/>
      <c r="P441" s="5"/>
      <c r="Q441" s="5" t="s">
        <v>1746</v>
      </c>
    </row>
    <row r="442" spans="1:17">
      <c r="A442" s="9">
        <v>46178</v>
      </c>
      <c r="B442" s="5" t="s">
        <v>15</v>
      </c>
      <c r="C442" s="5" t="s">
        <v>16</v>
      </c>
      <c r="D442" s="5" t="s">
        <v>105</v>
      </c>
      <c r="E442" s="5" t="s">
        <v>2660</v>
      </c>
      <c r="F442" s="5">
        <f t="shared" si="25"/>
        <v>23</v>
      </c>
      <c r="G442" s="5" t="s">
        <v>19</v>
      </c>
      <c r="H442" s="5" t="s">
        <v>20</v>
      </c>
      <c r="I442" s="5" t="s">
        <v>28</v>
      </c>
      <c r="J442" s="5" t="s">
        <v>28</v>
      </c>
      <c r="K442" s="5">
        <f t="shared" si="26"/>
        <v>4</v>
      </c>
      <c r="L442" s="5">
        <f t="shared" si="27"/>
        <v>4</v>
      </c>
      <c r="M442" s="5" t="str">
        <f t="shared" si="24"/>
        <v/>
      </c>
      <c r="N442" s="5" t="s">
        <v>1748</v>
      </c>
      <c r="O442" s="5"/>
      <c r="P442" s="5" t="s">
        <v>1749</v>
      </c>
      <c r="Q442" s="5"/>
    </row>
    <row r="443" spans="1:17">
      <c r="A443" s="9">
        <v>46178</v>
      </c>
      <c r="B443" s="5" t="s">
        <v>81</v>
      </c>
      <c r="C443" s="5" t="s">
        <v>82</v>
      </c>
      <c r="D443" s="5" t="s">
        <v>3391</v>
      </c>
      <c r="E443" s="5" t="s">
        <v>2661</v>
      </c>
      <c r="F443" s="5">
        <f t="shared" si="25"/>
        <v>24</v>
      </c>
      <c r="G443" s="5" t="s">
        <v>19</v>
      </c>
      <c r="H443" s="5" t="s">
        <v>20</v>
      </c>
      <c r="I443" s="5" t="s">
        <v>28</v>
      </c>
      <c r="J443" s="5" t="s">
        <v>28</v>
      </c>
      <c r="K443" s="5">
        <f t="shared" si="26"/>
        <v>4</v>
      </c>
      <c r="L443" s="5">
        <f t="shared" si="27"/>
        <v>4</v>
      </c>
      <c r="M443" s="5" t="str">
        <f t="shared" si="24"/>
        <v/>
      </c>
      <c r="N443" s="5" t="s">
        <v>1751</v>
      </c>
      <c r="O443" s="5" t="s">
        <v>1752</v>
      </c>
      <c r="P443" s="5" t="s">
        <v>1752</v>
      </c>
      <c r="Q443" s="5" t="s">
        <v>1752</v>
      </c>
    </row>
    <row r="444" spans="1:17">
      <c r="A444" s="9">
        <v>46178</v>
      </c>
      <c r="B444" s="5" t="s">
        <v>1073</v>
      </c>
      <c r="C444" s="5" t="s">
        <v>3409</v>
      </c>
      <c r="D444" s="5" t="s">
        <v>1075</v>
      </c>
      <c r="E444" s="5" t="s">
        <v>2662</v>
      </c>
      <c r="F444" s="5">
        <f t="shared" si="25"/>
        <v>30</v>
      </c>
      <c r="G444" s="5" t="s">
        <v>981</v>
      </c>
      <c r="H444" s="5" t="s">
        <v>20</v>
      </c>
      <c r="I444" s="5" t="s">
        <v>28</v>
      </c>
      <c r="J444" s="5" t="s">
        <v>21</v>
      </c>
      <c r="K444" s="5">
        <f t="shared" si="26"/>
        <v>4</v>
      </c>
      <c r="L444" s="5">
        <f t="shared" si="27"/>
        <v>3</v>
      </c>
      <c r="M444" s="5" t="str">
        <f t="shared" si="24"/>
        <v/>
      </c>
      <c r="N444" s="5" t="s">
        <v>3247</v>
      </c>
      <c r="O444" s="5" t="s">
        <v>1755</v>
      </c>
      <c r="P444" s="5" t="s">
        <v>1756</v>
      </c>
      <c r="Q444" s="5" t="s">
        <v>123</v>
      </c>
    </row>
    <row r="445" spans="1:17">
      <c r="A445" s="9">
        <v>46178</v>
      </c>
      <c r="B445" s="5" t="s">
        <v>150</v>
      </c>
      <c r="C445" s="5" t="s">
        <v>3389</v>
      </c>
      <c r="D445" s="5" t="s">
        <v>150</v>
      </c>
      <c r="E445" s="5" t="s">
        <v>2663</v>
      </c>
      <c r="F445" s="5">
        <f t="shared" si="25"/>
        <v>36</v>
      </c>
      <c r="G445" s="5" t="s">
        <v>19</v>
      </c>
      <c r="H445" s="5" t="s">
        <v>20</v>
      </c>
      <c r="I445" s="5" t="s">
        <v>21</v>
      </c>
      <c r="J445" s="5" t="s">
        <v>21</v>
      </c>
      <c r="K445" s="5">
        <f t="shared" si="26"/>
        <v>3</v>
      </c>
      <c r="L445" s="5">
        <f t="shared" si="27"/>
        <v>3</v>
      </c>
      <c r="M445" s="5" t="str">
        <f t="shared" si="24"/>
        <v/>
      </c>
      <c r="N445" s="5" t="s">
        <v>1758</v>
      </c>
      <c r="O445" s="5" t="s">
        <v>3248</v>
      </c>
      <c r="P445" s="5" t="s">
        <v>1760</v>
      </c>
      <c r="Q445" s="5"/>
    </row>
    <row r="446" spans="1:17">
      <c r="A446" s="9">
        <v>46178</v>
      </c>
      <c r="B446" s="5" t="s">
        <v>150</v>
      </c>
      <c r="C446" s="5" t="s">
        <v>3389</v>
      </c>
      <c r="D446" s="5" t="s">
        <v>150</v>
      </c>
      <c r="E446" s="5" t="s">
        <v>3249</v>
      </c>
      <c r="F446" s="5">
        <f t="shared" si="25"/>
        <v>34</v>
      </c>
      <c r="G446" s="5" t="s">
        <v>19</v>
      </c>
      <c r="H446" s="5" t="s">
        <v>45</v>
      </c>
      <c r="I446" s="5" t="s">
        <v>28</v>
      </c>
      <c r="J446" s="5" t="s">
        <v>28</v>
      </c>
      <c r="K446" s="5">
        <f t="shared" si="26"/>
        <v>4</v>
      </c>
      <c r="L446" s="5">
        <f t="shared" si="27"/>
        <v>4</v>
      </c>
      <c r="M446" s="5" t="str">
        <f t="shared" si="24"/>
        <v/>
      </c>
      <c r="N446" s="5" t="s">
        <v>1762</v>
      </c>
      <c r="O446" s="5"/>
      <c r="P446" s="5"/>
      <c r="Q446" s="5"/>
    </row>
    <row r="447" spans="1:17">
      <c r="A447" s="9">
        <v>46178</v>
      </c>
      <c r="B447" s="5" t="s">
        <v>1030</v>
      </c>
      <c r="C447" s="5" t="s">
        <v>3408</v>
      </c>
      <c r="D447" s="5" t="s">
        <v>1061</v>
      </c>
      <c r="E447" s="5" t="s">
        <v>2664</v>
      </c>
      <c r="F447" s="5">
        <f t="shared" si="25"/>
        <v>22</v>
      </c>
      <c r="G447" s="5" t="s">
        <v>981</v>
      </c>
      <c r="H447" s="5" t="s">
        <v>20</v>
      </c>
      <c r="I447" s="5" t="s">
        <v>21</v>
      </c>
      <c r="J447" s="5" t="s">
        <v>28</v>
      </c>
      <c r="K447" s="5">
        <f t="shared" si="26"/>
        <v>3</v>
      </c>
      <c r="L447" s="5">
        <f t="shared" si="27"/>
        <v>4</v>
      </c>
      <c r="M447" s="5" t="str">
        <f t="shared" si="24"/>
        <v/>
      </c>
      <c r="N447" s="5" t="s">
        <v>3250</v>
      </c>
      <c r="O447" s="5" t="s">
        <v>3589</v>
      </c>
      <c r="P447" s="5" t="s">
        <v>3590</v>
      </c>
      <c r="Q447" s="5"/>
    </row>
    <row r="448" spans="1:17">
      <c r="A448" s="9">
        <v>46178</v>
      </c>
      <c r="B448" s="5" t="s">
        <v>15</v>
      </c>
      <c r="C448" s="5" t="s">
        <v>16</v>
      </c>
      <c r="D448" s="5" t="s">
        <v>177</v>
      </c>
      <c r="E448" s="5" t="s">
        <v>2665</v>
      </c>
      <c r="F448" s="5">
        <f t="shared" si="25"/>
        <v>22</v>
      </c>
      <c r="G448" s="5" t="s">
        <v>107</v>
      </c>
      <c r="H448" s="5" t="s">
        <v>20</v>
      </c>
      <c r="I448" s="5" t="s">
        <v>21</v>
      </c>
      <c r="J448" s="5" t="s">
        <v>21</v>
      </c>
      <c r="K448" s="5">
        <f t="shared" si="26"/>
        <v>3</v>
      </c>
      <c r="L448" s="5">
        <f t="shared" si="27"/>
        <v>3</v>
      </c>
      <c r="M448" s="5" t="str">
        <f t="shared" si="24"/>
        <v/>
      </c>
      <c r="N448" s="5" t="s">
        <v>3251</v>
      </c>
      <c r="O448" s="5"/>
      <c r="P448" s="5" t="s">
        <v>1769</v>
      </c>
      <c r="Q448" s="5"/>
    </row>
    <row r="449" spans="1:17">
      <c r="A449" s="9">
        <v>46178</v>
      </c>
      <c r="B449" s="5" t="s">
        <v>150</v>
      </c>
      <c r="C449" s="5" t="s">
        <v>3389</v>
      </c>
      <c r="D449" s="5" t="s">
        <v>150</v>
      </c>
      <c r="E449" s="5" t="s">
        <v>3252</v>
      </c>
      <c r="F449" s="5">
        <f t="shared" si="25"/>
        <v>33</v>
      </c>
      <c r="G449" s="5" t="s">
        <v>19</v>
      </c>
      <c r="H449" s="5" t="s">
        <v>45</v>
      </c>
      <c r="I449" s="5" t="s">
        <v>21</v>
      </c>
      <c r="J449" s="5" t="s">
        <v>28</v>
      </c>
      <c r="K449" s="5">
        <f t="shared" si="26"/>
        <v>3</v>
      </c>
      <c r="L449" s="5">
        <f t="shared" si="27"/>
        <v>4</v>
      </c>
      <c r="M449" s="5" t="str">
        <f t="shared" si="24"/>
        <v/>
      </c>
      <c r="N449" s="5" t="s">
        <v>1771</v>
      </c>
      <c r="O449" s="5" t="s">
        <v>1046</v>
      </c>
      <c r="P449" s="5" t="s">
        <v>1772</v>
      </c>
      <c r="Q449" s="5" t="s">
        <v>1773</v>
      </c>
    </row>
    <row r="450" spans="1:17">
      <c r="A450" s="9">
        <v>46178</v>
      </c>
      <c r="B450" s="5" t="s">
        <v>15</v>
      </c>
      <c r="C450" s="5" t="s">
        <v>16</v>
      </c>
      <c r="D450" s="5" t="s">
        <v>1064</v>
      </c>
      <c r="E450" s="5" t="s">
        <v>2666</v>
      </c>
      <c r="F450" s="5">
        <f t="shared" si="25"/>
        <v>25</v>
      </c>
      <c r="G450" s="5" t="s">
        <v>107</v>
      </c>
      <c r="H450" s="5" t="s">
        <v>20</v>
      </c>
      <c r="I450" s="5" t="s">
        <v>21</v>
      </c>
      <c r="J450" s="5" t="s">
        <v>21</v>
      </c>
      <c r="K450" s="5">
        <f t="shared" si="26"/>
        <v>3</v>
      </c>
      <c r="L450" s="5">
        <f t="shared" si="27"/>
        <v>3</v>
      </c>
      <c r="M450" s="5" t="str">
        <f t="shared" ref="M450:M513" si="28">IF(OR(I450="Poor",I450="Very Poor"),"YES","")</f>
        <v/>
      </c>
      <c r="N450" s="5" t="s">
        <v>3253</v>
      </c>
      <c r="O450" s="5" t="s">
        <v>1776</v>
      </c>
      <c r="P450" s="5" t="s">
        <v>1777</v>
      </c>
      <c r="Q450" s="5"/>
    </row>
    <row r="451" spans="1:17">
      <c r="A451" s="9">
        <v>46178</v>
      </c>
      <c r="B451" s="5" t="s">
        <v>150</v>
      </c>
      <c r="C451" s="5" t="s">
        <v>3389</v>
      </c>
      <c r="D451" s="5" t="s">
        <v>150</v>
      </c>
      <c r="E451" s="5" t="s">
        <v>3254</v>
      </c>
      <c r="F451" s="5">
        <f t="shared" ref="F451:F514" si="29">LEN(E451)</f>
        <v>36</v>
      </c>
      <c r="G451" s="5" t="s">
        <v>19</v>
      </c>
      <c r="H451" s="5" t="s">
        <v>20</v>
      </c>
      <c r="I451" s="5" t="s">
        <v>28</v>
      </c>
      <c r="J451" s="5" t="s">
        <v>28</v>
      </c>
      <c r="K451" s="5">
        <f t="shared" ref="K451:K514" si="30">IF(I451="Very Good",4,IF(I451="Good",3,IF(I451="Poor",2,IF(I451="Very Poor",1,""))))</f>
        <v>4</v>
      </c>
      <c r="L451" s="5">
        <f t="shared" ref="L451:L514" si="31">IF(J451="Very Good",4,IF(J451="Good",3,IF(J451="Poor",2,IF(J451="Very Poor",1,""))))</f>
        <v>4</v>
      </c>
      <c r="M451" s="5" t="str">
        <f t="shared" si="28"/>
        <v/>
      </c>
      <c r="N451" s="5" t="s">
        <v>3255</v>
      </c>
      <c r="O451" s="5" t="s">
        <v>3256</v>
      </c>
      <c r="P451" s="5" t="s">
        <v>3257</v>
      </c>
      <c r="Q451" s="5" t="s">
        <v>3258</v>
      </c>
    </row>
    <row r="452" spans="1:17">
      <c r="A452" s="9">
        <v>46178</v>
      </c>
      <c r="B452" s="5" t="s">
        <v>15</v>
      </c>
      <c r="C452" s="5" t="s">
        <v>16</v>
      </c>
      <c r="D452" s="5" t="s">
        <v>1064</v>
      </c>
      <c r="E452" s="5" t="s">
        <v>2667</v>
      </c>
      <c r="F452" s="5">
        <f t="shared" si="29"/>
        <v>24</v>
      </c>
      <c r="G452" s="5" t="s">
        <v>19</v>
      </c>
      <c r="H452" s="5" t="s">
        <v>20</v>
      </c>
      <c r="I452" s="5" t="s">
        <v>21</v>
      </c>
      <c r="J452" s="5" t="s">
        <v>21</v>
      </c>
      <c r="K452" s="5">
        <f t="shared" si="30"/>
        <v>3</v>
      </c>
      <c r="L452" s="5">
        <f t="shared" si="31"/>
        <v>3</v>
      </c>
      <c r="M452" s="5" t="str">
        <f t="shared" si="28"/>
        <v/>
      </c>
      <c r="N452" s="5" t="s">
        <v>3259</v>
      </c>
      <c r="O452" s="5" t="s">
        <v>1114</v>
      </c>
      <c r="P452" s="5" t="s">
        <v>1785</v>
      </c>
      <c r="Q452" s="5"/>
    </row>
    <row r="453" spans="1:17">
      <c r="A453" s="9">
        <v>46178</v>
      </c>
      <c r="B453" s="5" t="s">
        <v>15</v>
      </c>
      <c r="C453" s="5" t="s">
        <v>33</v>
      </c>
      <c r="D453" s="5" t="s">
        <v>62</v>
      </c>
      <c r="E453" s="5" t="s">
        <v>2668</v>
      </c>
      <c r="F453" s="5">
        <f t="shared" si="29"/>
        <v>32</v>
      </c>
      <c r="G453" s="5" t="s">
        <v>19</v>
      </c>
      <c r="H453" s="5" t="s">
        <v>20</v>
      </c>
      <c r="I453" s="5" t="s">
        <v>21</v>
      </c>
      <c r="J453" s="5" t="s">
        <v>186</v>
      </c>
      <c r="K453" s="5">
        <f t="shared" si="30"/>
        <v>3</v>
      </c>
      <c r="L453" s="5">
        <f t="shared" si="31"/>
        <v>2</v>
      </c>
      <c r="M453" s="5" t="str">
        <f t="shared" si="28"/>
        <v/>
      </c>
      <c r="N453" s="5" t="s">
        <v>1787</v>
      </c>
      <c r="O453" s="5" t="s">
        <v>3260</v>
      </c>
      <c r="P453" s="5" t="s">
        <v>1789</v>
      </c>
      <c r="Q453" s="5"/>
    </row>
    <row r="454" spans="1:17">
      <c r="A454" s="9">
        <v>46178</v>
      </c>
      <c r="B454" s="5" t="s">
        <v>1030</v>
      </c>
      <c r="C454" s="5" t="s">
        <v>3408</v>
      </c>
      <c r="D454" s="5" t="s">
        <v>1032</v>
      </c>
      <c r="E454" s="5" t="s">
        <v>2669</v>
      </c>
      <c r="F454" s="5">
        <f t="shared" si="29"/>
        <v>20</v>
      </c>
      <c r="G454" s="5" t="s">
        <v>1034</v>
      </c>
      <c r="H454" s="5" t="s">
        <v>20</v>
      </c>
      <c r="I454" s="5" t="s">
        <v>28</v>
      </c>
      <c r="J454" s="5" t="s">
        <v>21</v>
      </c>
      <c r="K454" s="5">
        <f t="shared" si="30"/>
        <v>4</v>
      </c>
      <c r="L454" s="5">
        <f t="shared" si="31"/>
        <v>3</v>
      </c>
      <c r="M454" s="5" t="str">
        <f t="shared" si="28"/>
        <v/>
      </c>
      <c r="N454" s="5" t="s">
        <v>1343</v>
      </c>
      <c r="O454" s="5" t="s">
        <v>1046</v>
      </c>
      <c r="P454" s="5" t="s">
        <v>1791</v>
      </c>
      <c r="Q454" s="5" t="s">
        <v>1792</v>
      </c>
    </row>
    <row r="455" spans="1:17">
      <c r="A455" s="9">
        <v>46178</v>
      </c>
      <c r="B455" s="5" t="s">
        <v>150</v>
      </c>
      <c r="C455" s="5" t="s">
        <v>3389</v>
      </c>
      <c r="D455" s="5" t="s">
        <v>150</v>
      </c>
      <c r="E455" s="5" t="s">
        <v>2670</v>
      </c>
      <c r="F455" s="5">
        <f t="shared" si="29"/>
        <v>26</v>
      </c>
      <c r="G455" s="5" t="s">
        <v>19</v>
      </c>
      <c r="H455" s="5" t="s">
        <v>45</v>
      </c>
      <c r="I455" s="5" t="s">
        <v>28</v>
      </c>
      <c r="J455" s="5" t="s">
        <v>28</v>
      </c>
      <c r="K455" s="5">
        <f t="shared" si="30"/>
        <v>4</v>
      </c>
      <c r="L455" s="5">
        <f t="shared" si="31"/>
        <v>4</v>
      </c>
      <c r="M455" s="5" t="str">
        <f t="shared" si="28"/>
        <v/>
      </c>
      <c r="N455" s="5" t="s">
        <v>3591</v>
      </c>
      <c r="O455" s="5" t="s">
        <v>3592</v>
      </c>
      <c r="P455" s="5" t="s">
        <v>3593</v>
      </c>
      <c r="Q455" s="5"/>
    </row>
    <row r="456" spans="1:17">
      <c r="A456" s="9">
        <v>46178</v>
      </c>
      <c r="B456" s="5" t="s">
        <v>15</v>
      </c>
      <c r="C456" s="5" t="s">
        <v>33</v>
      </c>
      <c r="D456" s="5" t="s">
        <v>34</v>
      </c>
      <c r="E456" s="5" t="s">
        <v>2840</v>
      </c>
      <c r="F456" s="5">
        <f t="shared" si="29"/>
        <v>36</v>
      </c>
      <c r="G456" s="5" t="s">
        <v>19</v>
      </c>
      <c r="H456" s="5" t="s">
        <v>20</v>
      </c>
      <c r="I456" s="5" t="s">
        <v>28</v>
      </c>
      <c r="J456" s="5" t="s">
        <v>28</v>
      </c>
      <c r="K456" s="5">
        <f t="shared" si="30"/>
        <v>4</v>
      </c>
      <c r="L456" s="5">
        <f t="shared" si="31"/>
        <v>4</v>
      </c>
      <c r="M456" s="5" t="str">
        <f t="shared" si="28"/>
        <v/>
      </c>
      <c r="N456" s="5" t="s">
        <v>1797</v>
      </c>
      <c r="O456" s="5" t="s">
        <v>1798</v>
      </c>
      <c r="P456" s="5" t="s">
        <v>1799</v>
      </c>
      <c r="Q456" s="5"/>
    </row>
    <row r="457" spans="1:17">
      <c r="A457" s="9">
        <v>46178</v>
      </c>
      <c r="B457" s="5" t="s">
        <v>150</v>
      </c>
      <c r="C457" s="5" t="s">
        <v>3389</v>
      </c>
      <c r="D457" s="5" t="s">
        <v>150</v>
      </c>
      <c r="E457" s="5" t="s">
        <v>2806</v>
      </c>
      <c r="F457" s="5">
        <f t="shared" si="29"/>
        <v>36</v>
      </c>
      <c r="G457" s="5" t="s">
        <v>19</v>
      </c>
      <c r="H457" s="5" t="s">
        <v>20</v>
      </c>
      <c r="I457" s="5" t="s">
        <v>21</v>
      </c>
      <c r="J457" s="5" t="s">
        <v>21</v>
      </c>
      <c r="K457" s="5">
        <f t="shared" si="30"/>
        <v>3</v>
      </c>
      <c r="L457" s="5">
        <f t="shared" si="31"/>
        <v>3</v>
      </c>
      <c r="M457" s="5" t="str">
        <f t="shared" si="28"/>
        <v/>
      </c>
      <c r="N457" s="5" t="s">
        <v>3261</v>
      </c>
      <c r="O457" s="5" t="s">
        <v>3262</v>
      </c>
      <c r="P457" s="5" t="s">
        <v>3263</v>
      </c>
      <c r="Q457" s="5"/>
    </row>
    <row r="458" spans="1:17">
      <c r="A458" s="9">
        <v>46178</v>
      </c>
      <c r="B458" s="5" t="s">
        <v>3405</v>
      </c>
      <c r="C458" s="5" t="s">
        <v>3406</v>
      </c>
      <c r="D458" s="5" t="s">
        <v>3405</v>
      </c>
      <c r="E458" s="5" t="s">
        <v>2671</v>
      </c>
      <c r="F458" s="5">
        <f t="shared" si="29"/>
        <v>20</v>
      </c>
      <c r="G458" s="5" t="s">
        <v>1034</v>
      </c>
      <c r="H458" s="5" t="s">
        <v>20</v>
      </c>
      <c r="I458" s="5" t="s">
        <v>28</v>
      </c>
      <c r="J458" s="5" t="s">
        <v>28</v>
      </c>
      <c r="K458" s="5">
        <f t="shared" si="30"/>
        <v>4</v>
      </c>
      <c r="L458" s="5">
        <f t="shared" si="31"/>
        <v>4</v>
      </c>
      <c r="M458" s="5" t="str">
        <f t="shared" si="28"/>
        <v/>
      </c>
      <c r="N458" s="5" t="s">
        <v>3264</v>
      </c>
      <c r="O458" s="5"/>
      <c r="P458" s="5" t="s">
        <v>1807</v>
      </c>
      <c r="Q458" s="5" t="s">
        <v>1808</v>
      </c>
    </row>
    <row r="459" spans="1:17">
      <c r="A459" s="9">
        <v>46178</v>
      </c>
      <c r="B459" s="5" t="s">
        <v>81</v>
      </c>
      <c r="C459" s="5" t="s">
        <v>82</v>
      </c>
      <c r="D459" s="5" t="s">
        <v>95</v>
      </c>
      <c r="E459" s="5" t="s">
        <v>2672</v>
      </c>
      <c r="F459" s="5">
        <f t="shared" si="29"/>
        <v>42</v>
      </c>
      <c r="G459" s="5" t="s">
        <v>19</v>
      </c>
      <c r="H459" s="5" t="s">
        <v>20</v>
      </c>
      <c r="I459" s="5" t="s">
        <v>21</v>
      </c>
      <c r="J459" s="5" t="s">
        <v>21</v>
      </c>
      <c r="K459" s="5">
        <f t="shared" si="30"/>
        <v>3</v>
      </c>
      <c r="L459" s="5">
        <f t="shared" si="31"/>
        <v>3</v>
      </c>
      <c r="M459" s="5" t="str">
        <f t="shared" si="28"/>
        <v/>
      </c>
      <c r="N459" s="5" t="s">
        <v>3265</v>
      </c>
      <c r="O459" s="5" t="s">
        <v>3266</v>
      </c>
      <c r="P459" s="5" t="s">
        <v>3266</v>
      </c>
      <c r="Q459" s="5"/>
    </row>
    <row r="460" spans="1:17">
      <c r="A460" s="9">
        <v>46178</v>
      </c>
      <c r="B460" s="5" t="s">
        <v>3405</v>
      </c>
      <c r="C460" s="5" t="s">
        <v>3406</v>
      </c>
      <c r="D460" s="5" t="s">
        <v>3405</v>
      </c>
      <c r="E460" s="5" t="s">
        <v>2673</v>
      </c>
      <c r="F460" s="5">
        <f t="shared" si="29"/>
        <v>33</v>
      </c>
      <c r="G460" s="5" t="s">
        <v>981</v>
      </c>
      <c r="H460" s="5" t="s">
        <v>20</v>
      </c>
      <c r="I460" s="5" t="s">
        <v>21</v>
      </c>
      <c r="J460" s="5" t="s">
        <v>21</v>
      </c>
      <c r="K460" s="5">
        <f t="shared" si="30"/>
        <v>3</v>
      </c>
      <c r="L460" s="5">
        <f t="shared" si="31"/>
        <v>3</v>
      </c>
      <c r="M460" s="5" t="str">
        <f t="shared" si="28"/>
        <v/>
      </c>
      <c r="N460" s="5" t="s">
        <v>1813</v>
      </c>
      <c r="O460" s="5" t="s">
        <v>1814</v>
      </c>
      <c r="P460" s="5" t="s">
        <v>1815</v>
      </c>
      <c r="Q460" s="5" t="s">
        <v>1816</v>
      </c>
    </row>
    <row r="461" spans="1:17">
      <c r="A461" s="9">
        <v>46178</v>
      </c>
      <c r="B461" s="5" t="s">
        <v>150</v>
      </c>
      <c r="C461" s="5" t="s">
        <v>3389</v>
      </c>
      <c r="D461" s="5" t="s">
        <v>150</v>
      </c>
      <c r="E461" s="5" t="s">
        <v>2674</v>
      </c>
      <c r="F461" s="5">
        <f t="shared" si="29"/>
        <v>26</v>
      </c>
      <c r="G461" s="5" t="s">
        <v>19</v>
      </c>
      <c r="H461" s="5" t="s">
        <v>20</v>
      </c>
      <c r="I461" s="5" t="s">
        <v>21</v>
      </c>
      <c r="J461" s="5" t="s">
        <v>21</v>
      </c>
      <c r="K461" s="5">
        <f t="shared" si="30"/>
        <v>3</v>
      </c>
      <c r="L461" s="5">
        <f t="shared" si="31"/>
        <v>3</v>
      </c>
      <c r="M461" s="5" t="str">
        <f t="shared" si="28"/>
        <v/>
      </c>
      <c r="N461" s="5" t="s">
        <v>3267</v>
      </c>
      <c r="O461" s="5" t="s">
        <v>1819</v>
      </c>
      <c r="P461" s="5" t="s">
        <v>2807</v>
      </c>
      <c r="Q461" s="5" t="s">
        <v>1821</v>
      </c>
    </row>
    <row r="462" spans="1:17">
      <c r="A462" s="9">
        <v>46178</v>
      </c>
      <c r="B462" s="5" t="s">
        <v>1030</v>
      </c>
      <c r="C462" s="5" t="s">
        <v>3408</v>
      </c>
      <c r="D462" s="5" t="s">
        <v>1061</v>
      </c>
      <c r="E462" s="5" t="s">
        <v>2675</v>
      </c>
      <c r="F462" s="5">
        <f t="shared" si="29"/>
        <v>28</v>
      </c>
      <c r="G462" s="5" t="s">
        <v>1034</v>
      </c>
      <c r="H462" s="5" t="s">
        <v>20</v>
      </c>
      <c r="I462" s="5" t="s">
        <v>21</v>
      </c>
      <c r="J462" s="5" t="s">
        <v>21</v>
      </c>
      <c r="K462" s="5">
        <f t="shared" si="30"/>
        <v>3</v>
      </c>
      <c r="L462" s="5">
        <f t="shared" si="31"/>
        <v>3</v>
      </c>
      <c r="M462" s="5" t="str">
        <f t="shared" si="28"/>
        <v/>
      </c>
      <c r="N462" s="5" t="s">
        <v>3268</v>
      </c>
      <c r="O462" s="5" t="s">
        <v>3269</v>
      </c>
      <c r="P462" s="5" t="s">
        <v>1825</v>
      </c>
      <c r="Q462" s="5" t="s">
        <v>3270</v>
      </c>
    </row>
    <row r="463" spans="1:17">
      <c r="A463" s="9">
        <v>46178</v>
      </c>
      <c r="B463" s="5" t="s">
        <v>3405</v>
      </c>
      <c r="C463" s="5" t="s">
        <v>3406</v>
      </c>
      <c r="D463" s="5" t="s">
        <v>3405</v>
      </c>
      <c r="E463" s="5" t="s">
        <v>2676</v>
      </c>
      <c r="F463" s="5">
        <f t="shared" si="29"/>
        <v>24</v>
      </c>
      <c r="G463" s="5" t="s">
        <v>1034</v>
      </c>
      <c r="H463" s="5" t="s">
        <v>20</v>
      </c>
      <c r="I463" s="5" t="s">
        <v>21</v>
      </c>
      <c r="J463" s="5" t="s">
        <v>28</v>
      </c>
      <c r="K463" s="5">
        <f t="shared" si="30"/>
        <v>3</v>
      </c>
      <c r="L463" s="5">
        <f t="shared" si="31"/>
        <v>4</v>
      </c>
      <c r="M463" s="5" t="str">
        <f t="shared" si="28"/>
        <v/>
      </c>
      <c r="N463" s="5" t="s">
        <v>1828</v>
      </c>
      <c r="O463" s="5" t="s">
        <v>1829</v>
      </c>
      <c r="P463" s="5" t="s">
        <v>2808</v>
      </c>
      <c r="Q463" s="5"/>
    </row>
    <row r="464" spans="1:17">
      <c r="A464" s="9">
        <v>46178</v>
      </c>
      <c r="B464" s="5" t="s">
        <v>1030</v>
      </c>
      <c r="C464" s="5" t="s">
        <v>3408</v>
      </c>
      <c r="D464" s="5" t="s">
        <v>1061</v>
      </c>
      <c r="E464" s="5" t="s">
        <v>2677</v>
      </c>
      <c r="F464" s="5">
        <f t="shared" si="29"/>
        <v>24</v>
      </c>
      <c r="G464" s="5" t="s">
        <v>981</v>
      </c>
      <c r="H464" s="5" t="s">
        <v>20</v>
      </c>
      <c r="I464" s="5" t="s">
        <v>21</v>
      </c>
      <c r="J464" s="5" t="s">
        <v>21</v>
      </c>
      <c r="K464" s="5">
        <f t="shared" si="30"/>
        <v>3</v>
      </c>
      <c r="L464" s="5">
        <f t="shared" si="31"/>
        <v>3</v>
      </c>
      <c r="M464" s="5" t="str">
        <f t="shared" si="28"/>
        <v/>
      </c>
      <c r="N464" s="5" t="s">
        <v>1832</v>
      </c>
      <c r="O464" s="5" t="s">
        <v>1833</v>
      </c>
      <c r="P464" s="5" t="s">
        <v>1834</v>
      </c>
      <c r="Q464" s="5"/>
    </row>
    <row r="465" spans="1:17">
      <c r="A465" s="9">
        <v>46178</v>
      </c>
      <c r="B465" s="5" t="s">
        <v>3405</v>
      </c>
      <c r="C465" s="5" t="s">
        <v>3406</v>
      </c>
      <c r="D465" s="5" t="s">
        <v>3405</v>
      </c>
      <c r="E465" s="5" t="s">
        <v>2809</v>
      </c>
      <c r="F465" s="5">
        <f t="shared" si="29"/>
        <v>25</v>
      </c>
      <c r="G465" s="5" t="s">
        <v>1034</v>
      </c>
      <c r="H465" s="5" t="s">
        <v>45</v>
      </c>
      <c r="I465" s="5" t="s">
        <v>21</v>
      </c>
      <c r="J465" s="5" t="s">
        <v>28</v>
      </c>
      <c r="K465" s="5">
        <f t="shared" si="30"/>
        <v>3</v>
      </c>
      <c r="L465" s="5">
        <f t="shared" si="31"/>
        <v>4</v>
      </c>
      <c r="M465" s="5" t="str">
        <f t="shared" si="28"/>
        <v/>
      </c>
      <c r="N465" s="5" t="s">
        <v>3271</v>
      </c>
      <c r="O465" s="5" t="s">
        <v>3272</v>
      </c>
      <c r="P465" s="5" t="s">
        <v>3273</v>
      </c>
      <c r="Q465" s="5" t="s">
        <v>3594</v>
      </c>
    </row>
    <row r="466" spans="1:17">
      <c r="A466" s="9">
        <v>46178</v>
      </c>
      <c r="B466" s="5" t="s">
        <v>3405</v>
      </c>
      <c r="C466" s="5" t="s">
        <v>3406</v>
      </c>
      <c r="D466" s="5" t="s">
        <v>3405</v>
      </c>
      <c r="E466" s="5" t="s">
        <v>2673</v>
      </c>
      <c r="F466" s="5">
        <f t="shared" si="29"/>
        <v>33</v>
      </c>
      <c r="G466" s="5" t="s">
        <v>981</v>
      </c>
      <c r="H466" s="5" t="s">
        <v>20</v>
      </c>
      <c r="I466" s="5" t="s">
        <v>21</v>
      </c>
      <c r="J466" s="5" t="s">
        <v>21</v>
      </c>
      <c r="K466" s="5">
        <f t="shared" si="30"/>
        <v>3</v>
      </c>
      <c r="L466" s="5">
        <f t="shared" si="31"/>
        <v>3</v>
      </c>
      <c r="M466" s="5" t="str">
        <f t="shared" si="28"/>
        <v/>
      </c>
      <c r="N466" s="5" t="s">
        <v>1598</v>
      </c>
      <c r="O466" s="5"/>
      <c r="P466" s="5" t="s">
        <v>55</v>
      </c>
      <c r="Q466" s="5" t="s">
        <v>1840</v>
      </c>
    </row>
    <row r="467" spans="1:17">
      <c r="A467" s="9">
        <v>46178</v>
      </c>
      <c r="B467" s="5" t="s">
        <v>72</v>
      </c>
      <c r="C467" s="5" t="s">
        <v>3384</v>
      </c>
      <c r="D467" s="5" t="s">
        <v>72</v>
      </c>
      <c r="E467" s="5" t="s">
        <v>2678</v>
      </c>
      <c r="F467" s="5">
        <f t="shared" si="29"/>
        <v>30</v>
      </c>
      <c r="G467" s="5" t="s">
        <v>19</v>
      </c>
      <c r="H467" s="5" t="s">
        <v>45</v>
      </c>
      <c r="I467" s="5" t="s">
        <v>21</v>
      </c>
      <c r="J467" s="5" t="s">
        <v>21</v>
      </c>
      <c r="K467" s="5">
        <f t="shared" si="30"/>
        <v>3</v>
      </c>
      <c r="L467" s="5">
        <f t="shared" si="31"/>
        <v>3</v>
      </c>
      <c r="M467" s="5" t="str">
        <f t="shared" si="28"/>
        <v/>
      </c>
      <c r="N467" s="5" t="s">
        <v>1842</v>
      </c>
      <c r="O467" s="5" t="s">
        <v>1843</v>
      </c>
      <c r="P467" s="5" t="s">
        <v>1844</v>
      </c>
      <c r="Q467" s="5"/>
    </row>
    <row r="468" spans="1:17">
      <c r="A468" s="9">
        <v>46178</v>
      </c>
      <c r="B468" s="5" t="s">
        <v>72</v>
      </c>
      <c r="C468" s="5" t="s">
        <v>3384</v>
      </c>
      <c r="D468" s="5" t="s">
        <v>72</v>
      </c>
      <c r="E468" s="5" t="s">
        <v>3274</v>
      </c>
      <c r="F468" s="5">
        <f t="shared" si="29"/>
        <v>38</v>
      </c>
      <c r="G468" s="5" t="s">
        <v>19</v>
      </c>
      <c r="H468" s="5" t="s">
        <v>45</v>
      </c>
      <c r="I468" s="5" t="s">
        <v>28</v>
      </c>
      <c r="J468" s="5" t="s">
        <v>21</v>
      </c>
      <c r="K468" s="5">
        <f t="shared" si="30"/>
        <v>4</v>
      </c>
      <c r="L468" s="5">
        <f t="shared" si="31"/>
        <v>3</v>
      </c>
      <c r="M468" s="5" t="str">
        <f t="shared" si="28"/>
        <v/>
      </c>
      <c r="N468" s="5" t="s">
        <v>3595</v>
      </c>
      <c r="O468" s="5"/>
      <c r="P468" s="5" t="s">
        <v>3275</v>
      </c>
      <c r="Q468" s="5"/>
    </row>
    <row r="469" spans="1:17">
      <c r="A469" s="9">
        <v>46178</v>
      </c>
      <c r="B469" s="5" t="s">
        <v>81</v>
      </c>
      <c r="C469" s="5" t="s">
        <v>82</v>
      </c>
      <c r="D469" s="5" t="s">
        <v>83</v>
      </c>
      <c r="E469" s="5" t="s">
        <v>2679</v>
      </c>
      <c r="F469" s="5">
        <f t="shared" si="29"/>
        <v>27</v>
      </c>
      <c r="G469" s="5" t="s">
        <v>19</v>
      </c>
      <c r="H469" s="5" t="s">
        <v>20</v>
      </c>
      <c r="I469" s="5" t="s">
        <v>28</v>
      </c>
      <c r="J469" s="5" t="s">
        <v>21</v>
      </c>
      <c r="K469" s="5">
        <f t="shared" si="30"/>
        <v>4</v>
      </c>
      <c r="L469" s="5">
        <f t="shared" si="31"/>
        <v>3</v>
      </c>
      <c r="M469" s="5" t="str">
        <f t="shared" si="28"/>
        <v/>
      </c>
      <c r="N469" s="5" t="s">
        <v>1849</v>
      </c>
      <c r="O469" s="5" t="s">
        <v>3417</v>
      </c>
      <c r="P469" s="5" t="s">
        <v>1851</v>
      </c>
      <c r="Q469" s="5"/>
    </row>
    <row r="470" spans="1:17">
      <c r="A470" s="9">
        <v>46178</v>
      </c>
      <c r="B470" s="5" t="s">
        <v>81</v>
      </c>
      <c r="C470" s="5" t="s">
        <v>50</v>
      </c>
      <c r="D470" s="5" t="s">
        <v>3390</v>
      </c>
      <c r="E470" s="5" t="s">
        <v>2650</v>
      </c>
      <c r="F470" s="5">
        <f t="shared" si="29"/>
        <v>18</v>
      </c>
      <c r="G470" s="5" t="s">
        <v>981</v>
      </c>
      <c r="H470" s="5" t="s">
        <v>20</v>
      </c>
      <c r="I470" s="5" t="s">
        <v>28</v>
      </c>
      <c r="J470" s="5" t="s">
        <v>28</v>
      </c>
      <c r="K470" s="5">
        <f t="shared" si="30"/>
        <v>4</v>
      </c>
      <c r="L470" s="5">
        <f t="shared" si="31"/>
        <v>4</v>
      </c>
      <c r="M470" s="5" t="str">
        <f t="shared" si="28"/>
        <v/>
      </c>
      <c r="N470" s="5" t="s">
        <v>1852</v>
      </c>
      <c r="O470" s="5" t="s">
        <v>1853</v>
      </c>
      <c r="P470" s="5" t="s">
        <v>1854</v>
      </c>
      <c r="Q470" s="5" t="s">
        <v>1855</v>
      </c>
    </row>
    <row r="471" spans="1:17">
      <c r="A471" s="9">
        <v>46178</v>
      </c>
      <c r="B471" s="5" t="s">
        <v>3405</v>
      </c>
      <c r="C471" s="5" t="s">
        <v>3406</v>
      </c>
      <c r="D471" s="5" t="s">
        <v>3405</v>
      </c>
      <c r="E471" s="5" t="s">
        <v>2680</v>
      </c>
      <c r="F471" s="5">
        <f t="shared" si="29"/>
        <v>35</v>
      </c>
      <c r="G471" s="5" t="s">
        <v>1034</v>
      </c>
      <c r="H471" s="5" t="s">
        <v>20</v>
      </c>
      <c r="I471" s="5" t="s">
        <v>28</v>
      </c>
      <c r="J471" s="5" t="s">
        <v>28</v>
      </c>
      <c r="K471" s="5">
        <f t="shared" si="30"/>
        <v>4</v>
      </c>
      <c r="L471" s="5">
        <f t="shared" si="31"/>
        <v>4</v>
      </c>
      <c r="M471" s="5" t="str">
        <f t="shared" si="28"/>
        <v/>
      </c>
      <c r="N471" s="5" t="s">
        <v>3276</v>
      </c>
      <c r="O471" s="5" t="s">
        <v>3277</v>
      </c>
      <c r="P471" s="5" t="s">
        <v>3278</v>
      </c>
      <c r="Q471" s="5" t="s">
        <v>3279</v>
      </c>
    </row>
    <row r="472" spans="1:17">
      <c r="A472" s="9">
        <v>46178</v>
      </c>
      <c r="B472" s="5" t="s">
        <v>1030</v>
      </c>
      <c r="C472" s="5" t="s">
        <v>3408</v>
      </c>
      <c r="D472" s="5" t="s">
        <v>1032</v>
      </c>
      <c r="E472" s="5" t="s">
        <v>2511</v>
      </c>
      <c r="F472" s="5">
        <f t="shared" si="29"/>
        <v>22</v>
      </c>
      <c r="G472" s="5" t="s">
        <v>1034</v>
      </c>
      <c r="H472" s="5" t="s">
        <v>20</v>
      </c>
      <c r="I472" s="5" t="s">
        <v>21</v>
      </c>
      <c r="J472" s="5" t="s">
        <v>21</v>
      </c>
      <c r="K472" s="5">
        <f t="shared" si="30"/>
        <v>3</v>
      </c>
      <c r="L472" s="5">
        <f t="shared" si="31"/>
        <v>3</v>
      </c>
      <c r="M472" s="5" t="str">
        <f t="shared" si="28"/>
        <v/>
      </c>
      <c r="N472" s="5" t="s">
        <v>1861</v>
      </c>
      <c r="O472" s="5" t="s">
        <v>1862</v>
      </c>
      <c r="P472" s="5" t="s">
        <v>1863</v>
      </c>
      <c r="Q472" s="5" t="s">
        <v>1043</v>
      </c>
    </row>
    <row r="473" spans="1:17">
      <c r="A473" s="9">
        <v>46178</v>
      </c>
      <c r="B473" s="5" t="s">
        <v>25</v>
      </c>
      <c r="C473" s="5" t="s">
        <v>3380</v>
      </c>
      <c r="D473" s="5" t="s">
        <v>25</v>
      </c>
      <c r="E473" s="5" t="s">
        <v>2681</v>
      </c>
      <c r="F473" s="5">
        <f t="shared" si="29"/>
        <v>27</v>
      </c>
      <c r="G473" s="5" t="s">
        <v>19</v>
      </c>
      <c r="H473" s="5" t="s">
        <v>20</v>
      </c>
      <c r="I473" s="5" t="s">
        <v>21</v>
      </c>
      <c r="J473" s="5" t="s">
        <v>21</v>
      </c>
      <c r="K473" s="5">
        <f t="shared" si="30"/>
        <v>3</v>
      </c>
      <c r="L473" s="5">
        <f t="shared" si="31"/>
        <v>3</v>
      </c>
      <c r="M473" s="5" t="str">
        <f t="shared" si="28"/>
        <v/>
      </c>
      <c r="N473" s="5" t="s">
        <v>3280</v>
      </c>
      <c r="O473" s="5"/>
      <c r="P473" s="5"/>
      <c r="Q473" s="5"/>
    </row>
    <row r="474" spans="1:17">
      <c r="A474" s="9">
        <v>46178</v>
      </c>
      <c r="B474" s="5" t="s">
        <v>72</v>
      </c>
      <c r="C474" s="5" t="s">
        <v>3384</v>
      </c>
      <c r="D474" s="5" t="s">
        <v>72</v>
      </c>
      <c r="E474" s="5" t="s">
        <v>3281</v>
      </c>
      <c r="F474" s="5">
        <f t="shared" si="29"/>
        <v>39</v>
      </c>
      <c r="G474" s="5" t="s">
        <v>19</v>
      </c>
      <c r="H474" s="5" t="s">
        <v>45</v>
      </c>
      <c r="I474" s="5" t="s">
        <v>28</v>
      </c>
      <c r="J474" s="5" t="s">
        <v>28</v>
      </c>
      <c r="K474" s="5">
        <f t="shared" si="30"/>
        <v>4</v>
      </c>
      <c r="L474" s="5">
        <f t="shared" si="31"/>
        <v>4</v>
      </c>
      <c r="M474" s="5" t="str">
        <f t="shared" si="28"/>
        <v/>
      </c>
      <c r="N474" s="5" t="s">
        <v>1867</v>
      </c>
      <c r="O474" s="5" t="s">
        <v>3282</v>
      </c>
      <c r="P474" s="5"/>
      <c r="Q474" s="5" t="s">
        <v>3283</v>
      </c>
    </row>
    <row r="475" spans="1:17">
      <c r="A475" s="9">
        <v>46178</v>
      </c>
      <c r="B475" s="5" t="s">
        <v>1030</v>
      </c>
      <c r="C475" s="5" t="s">
        <v>3408</v>
      </c>
      <c r="D475" s="5" t="s">
        <v>1032</v>
      </c>
      <c r="E475" s="5" t="s">
        <v>2511</v>
      </c>
      <c r="F475" s="5">
        <f t="shared" si="29"/>
        <v>22</v>
      </c>
      <c r="G475" s="5" t="s">
        <v>1034</v>
      </c>
      <c r="H475" s="5" t="s">
        <v>20</v>
      </c>
      <c r="I475" s="5" t="s">
        <v>21</v>
      </c>
      <c r="J475" s="5" t="s">
        <v>21</v>
      </c>
      <c r="K475" s="5">
        <f t="shared" si="30"/>
        <v>3</v>
      </c>
      <c r="L475" s="5">
        <f t="shared" si="31"/>
        <v>3</v>
      </c>
      <c r="M475" s="5" t="str">
        <f t="shared" si="28"/>
        <v/>
      </c>
      <c r="N475" s="5" t="s">
        <v>1870</v>
      </c>
      <c r="O475" s="5" t="s">
        <v>1861</v>
      </c>
      <c r="P475" s="5" t="s">
        <v>1863</v>
      </c>
      <c r="Q475" s="5" t="s">
        <v>1043</v>
      </c>
    </row>
    <row r="476" spans="1:17">
      <c r="A476" s="9">
        <v>46178</v>
      </c>
      <c r="B476" s="5" t="s">
        <v>3405</v>
      </c>
      <c r="C476" s="5" t="s">
        <v>3406</v>
      </c>
      <c r="D476" s="5" t="s">
        <v>3405</v>
      </c>
      <c r="E476" s="5" t="s">
        <v>2682</v>
      </c>
      <c r="F476" s="5">
        <f t="shared" si="29"/>
        <v>21</v>
      </c>
      <c r="G476" s="5" t="s">
        <v>1034</v>
      </c>
      <c r="H476" s="5" t="s">
        <v>45</v>
      </c>
      <c r="I476" s="5" t="s">
        <v>21</v>
      </c>
      <c r="J476" s="5" t="s">
        <v>28</v>
      </c>
      <c r="K476" s="5">
        <f t="shared" si="30"/>
        <v>3</v>
      </c>
      <c r="L476" s="5">
        <f t="shared" si="31"/>
        <v>4</v>
      </c>
      <c r="M476" s="5" t="str">
        <f t="shared" si="28"/>
        <v/>
      </c>
      <c r="N476" s="5" t="s">
        <v>3418</v>
      </c>
      <c r="O476" s="5" t="s">
        <v>3284</v>
      </c>
      <c r="P476" s="5" t="s">
        <v>3285</v>
      </c>
      <c r="Q476" s="5" t="s">
        <v>3419</v>
      </c>
    </row>
    <row r="477" spans="1:17">
      <c r="A477" s="9">
        <v>46178</v>
      </c>
      <c r="B477" s="5" t="s">
        <v>3405</v>
      </c>
      <c r="C477" s="5" t="s">
        <v>3406</v>
      </c>
      <c r="D477" s="5" t="s">
        <v>3405</v>
      </c>
      <c r="E477" s="5" t="s">
        <v>2683</v>
      </c>
      <c r="F477" s="5">
        <f t="shared" si="29"/>
        <v>42</v>
      </c>
      <c r="G477" s="5" t="s">
        <v>981</v>
      </c>
      <c r="H477" s="5" t="s">
        <v>20</v>
      </c>
      <c r="I477" s="5" t="s">
        <v>21</v>
      </c>
      <c r="J477" s="5" t="s">
        <v>28</v>
      </c>
      <c r="K477" s="5">
        <f t="shared" si="30"/>
        <v>3</v>
      </c>
      <c r="L477" s="5">
        <f t="shared" si="31"/>
        <v>4</v>
      </c>
      <c r="M477" s="5" t="str">
        <f t="shared" si="28"/>
        <v/>
      </c>
      <c r="N477" s="5" t="s">
        <v>1877</v>
      </c>
      <c r="O477" s="5" t="s">
        <v>1878</v>
      </c>
      <c r="P477" s="5" t="s">
        <v>1879</v>
      </c>
      <c r="Q477" s="5"/>
    </row>
    <row r="478" spans="1:17">
      <c r="A478" s="9">
        <v>46178</v>
      </c>
      <c r="B478" s="5" t="s">
        <v>3405</v>
      </c>
      <c r="C478" s="5" t="s">
        <v>3406</v>
      </c>
      <c r="D478" s="5" t="s">
        <v>3405</v>
      </c>
      <c r="E478" s="5" t="s">
        <v>2683</v>
      </c>
      <c r="F478" s="5">
        <f t="shared" si="29"/>
        <v>42</v>
      </c>
      <c r="G478" s="5" t="s">
        <v>981</v>
      </c>
      <c r="H478" s="5" t="s">
        <v>20</v>
      </c>
      <c r="I478" s="5" t="s">
        <v>21</v>
      </c>
      <c r="J478" s="5" t="s">
        <v>28</v>
      </c>
      <c r="K478" s="5">
        <f t="shared" si="30"/>
        <v>3</v>
      </c>
      <c r="L478" s="5">
        <f t="shared" si="31"/>
        <v>4</v>
      </c>
      <c r="M478" s="5" t="str">
        <f t="shared" si="28"/>
        <v/>
      </c>
      <c r="N478" s="5" t="s">
        <v>1877</v>
      </c>
      <c r="O478" s="5" t="s">
        <v>3286</v>
      </c>
      <c r="P478" s="5" t="s">
        <v>3287</v>
      </c>
      <c r="Q478" s="5"/>
    </row>
    <row r="479" spans="1:17">
      <c r="A479" s="9">
        <v>46178</v>
      </c>
      <c r="B479" s="5" t="s">
        <v>81</v>
      </c>
      <c r="C479" s="5" t="s">
        <v>82</v>
      </c>
      <c r="D479" s="5" t="s">
        <v>3394</v>
      </c>
      <c r="E479" s="5" t="s">
        <v>3288</v>
      </c>
      <c r="F479" s="5">
        <f t="shared" si="29"/>
        <v>24</v>
      </c>
      <c r="G479" s="5" t="s">
        <v>19</v>
      </c>
      <c r="H479" s="5" t="s">
        <v>20</v>
      </c>
      <c r="I479" s="5" t="s">
        <v>21</v>
      </c>
      <c r="J479" s="5" t="s">
        <v>21</v>
      </c>
      <c r="K479" s="5">
        <f t="shared" si="30"/>
        <v>3</v>
      </c>
      <c r="L479" s="5">
        <f t="shared" si="31"/>
        <v>3</v>
      </c>
      <c r="M479" s="5" t="str">
        <f t="shared" si="28"/>
        <v/>
      </c>
      <c r="N479" s="5" t="s">
        <v>3289</v>
      </c>
      <c r="O479" s="5" t="s">
        <v>3290</v>
      </c>
      <c r="P479" s="5" t="s">
        <v>3291</v>
      </c>
      <c r="Q479" s="5"/>
    </row>
    <row r="480" spans="1:17">
      <c r="A480" s="9">
        <v>46178</v>
      </c>
      <c r="B480" s="5" t="s">
        <v>3405</v>
      </c>
      <c r="C480" s="5" t="s">
        <v>3406</v>
      </c>
      <c r="D480" s="5" t="s">
        <v>3405</v>
      </c>
      <c r="E480" s="5" t="s">
        <v>2683</v>
      </c>
      <c r="F480" s="5">
        <f t="shared" si="29"/>
        <v>42</v>
      </c>
      <c r="G480" s="5" t="s">
        <v>981</v>
      </c>
      <c r="H480" s="5" t="s">
        <v>20</v>
      </c>
      <c r="I480" s="5" t="s">
        <v>21</v>
      </c>
      <c r="J480" s="5" t="s">
        <v>28</v>
      </c>
      <c r="K480" s="5">
        <f t="shared" si="30"/>
        <v>3</v>
      </c>
      <c r="L480" s="5">
        <f t="shared" si="31"/>
        <v>4</v>
      </c>
      <c r="M480" s="5" t="str">
        <f t="shared" si="28"/>
        <v/>
      </c>
      <c r="N480" s="5" t="s">
        <v>1887</v>
      </c>
      <c r="O480" s="5" t="s">
        <v>1888</v>
      </c>
      <c r="P480" s="5" t="s">
        <v>1879</v>
      </c>
      <c r="Q480" s="5"/>
    </row>
    <row r="481" spans="1:17">
      <c r="A481" s="9">
        <v>46178</v>
      </c>
      <c r="B481" s="5" t="s">
        <v>15</v>
      </c>
      <c r="C481" s="5" t="s">
        <v>16</v>
      </c>
      <c r="D481" s="5" t="s">
        <v>1064</v>
      </c>
      <c r="E481" s="5" t="s">
        <v>2684</v>
      </c>
      <c r="F481" s="5">
        <f t="shared" si="29"/>
        <v>21</v>
      </c>
      <c r="G481" s="5" t="s">
        <v>19</v>
      </c>
      <c r="H481" s="5" t="s">
        <v>20</v>
      </c>
      <c r="I481" s="5" t="s">
        <v>21</v>
      </c>
      <c r="J481" s="5" t="s">
        <v>21</v>
      </c>
      <c r="K481" s="5">
        <f t="shared" si="30"/>
        <v>3</v>
      </c>
      <c r="L481" s="5">
        <f t="shared" si="31"/>
        <v>3</v>
      </c>
      <c r="M481" s="5" t="str">
        <f t="shared" si="28"/>
        <v/>
      </c>
      <c r="N481" s="5" t="s">
        <v>1890</v>
      </c>
      <c r="O481" s="5" t="s">
        <v>1891</v>
      </c>
      <c r="P481" s="5" t="s">
        <v>1892</v>
      </c>
      <c r="Q481" s="5"/>
    </row>
    <row r="482" spans="1:17">
      <c r="A482" s="9">
        <v>46178</v>
      </c>
      <c r="B482" s="5" t="s">
        <v>72</v>
      </c>
      <c r="C482" s="5" t="s">
        <v>3384</v>
      </c>
      <c r="D482" s="5" t="s">
        <v>72</v>
      </c>
      <c r="E482" s="5" t="s">
        <v>2685</v>
      </c>
      <c r="F482" s="5">
        <f t="shared" si="29"/>
        <v>37</v>
      </c>
      <c r="G482" s="5" t="s">
        <v>19</v>
      </c>
      <c r="H482" s="5" t="s">
        <v>45</v>
      </c>
      <c r="I482" s="5" t="s">
        <v>28</v>
      </c>
      <c r="J482" s="5" t="s">
        <v>28</v>
      </c>
      <c r="K482" s="5">
        <f t="shared" si="30"/>
        <v>4</v>
      </c>
      <c r="L482" s="5">
        <f t="shared" si="31"/>
        <v>4</v>
      </c>
      <c r="M482" s="5" t="str">
        <f t="shared" si="28"/>
        <v/>
      </c>
      <c r="N482" s="5" t="s">
        <v>1894</v>
      </c>
      <c r="O482" s="5"/>
      <c r="P482" s="5"/>
      <c r="Q482" s="5"/>
    </row>
    <row r="483" spans="1:17">
      <c r="A483" s="9">
        <v>46178</v>
      </c>
      <c r="B483" s="5" t="s">
        <v>3405</v>
      </c>
      <c r="C483" s="5" t="s">
        <v>3406</v>
      </c>
      <c r="D483" s="5" t="s">
        <v>3405</v>
      </c>
      <c r="E483" s="5" t="s">
        <v>2686</v>
      </c>
      <c r="F483" s="5">
        <f t="shared" si="29"/>
        <v>21</v>
      </c>
      <c r="G483" s="5" t="s">
        <v>1034</v>
      </c>
      <c r="H483" s="5" t="s">
        <v>45</v>
      </c>
      <c r="I483" s="5" t="s">
        <v>21</v>
      </c>
      <c r="J483" s="5" t="s">
        <v>28</v>
      </c>
      <c r="K483" s="5">
        <f t="shared" si="30"/>
        <v>3</v>
      </c>
      <c r="L483" s="5">
        <f t="shared" si="31"/>
        <v>4</v>
      </c>
      <c r="M483" s="5" t="str">
        <f t="shared" si="28"/>
        <v/>
      </c>
      <c r="N483" s="5" t="s">
        <v>1896</v>
      </c>
      <c r="O483" s="5"/>
      <c r="P483" s="5" t="s">
        <v>3596</v>
      </c>
      <c r="Q483" s="5"/>
    </row>
    <row r="484" spans="1:17">
      <c r="A484" s="9">
        <v>46178</v>
      </c>
      <c r="B484" s="5" t="s">
        <v>72</v>
      </c>
      <c r="C484" s="5" t="s">
        <v>3384</v>
      </c>
      <c r="D484" s="5" t="s">
        <v>72</v>
      </c>
      <c r="E484" s="5" t="s">
        <v>2810</v>
      </c>
      <c r="F484" s="5">
        <f t="shared" si="29"/>
        <v>27</v>
      </c>
      <c r="G484" s="5" t="s">
        <v>19</v>
      </c>
      <c r="H484" s="5" t="s">
        <v>45</v>
      </c>
      <c r="I484" s="5" t="s">
        <v>28</v>
      </c>
      <c r="J484" s="5" t="s">
        <v>28</v>
      </c>
      <c r="K484" s="5">
        <f t="shared" si="30"/>
        <v>4</v>
      </c>
      <c r="L484" s="5">
        <f t="shared" si="31"/>
        <v>4</v>
      </c>
      <c r="M484" s="5" t="str">
        <f t="shared" si="28"/>
        <v/>
      </c>
      <c r="N484" s="5" t="s">
        <v>1899</v>
      </c>
      <c r="O484" s="5" t="s">
        <v>1900</v>
      </c>
      <c r="P484" s="5" t="s">
        <v>1901</v>
      </c>
      <c r="Q484" s="5" t="s">
        <v>1902</v>
      </c>
    </row>
    <row r="485" spans="1:17">
      <c r="A485" s="9">
        <v>46178</v>
      </c>
      <c r="B485" s="5" t="s">
        <v>150</v>
      </c>
      <c r="C485" s="5" t="s">
        <v>3389</v>
      </c>
      <c r="D485" s="5" t="s">
        <v>150</v>
      </c>
      <c r="E485" s="5" t="s">
        <v>2687</v>
      </c>
      <c r="F485" s="5">
        <f t="shared" si="29"/>
        <v>30</v>
      </c>
      <c r="G485" s="5" t="s">
        <v>19</v>
      </c>
      <c r="H485" s="5" t="s">
        <v>20</v>
      </c>
      <c r="I485" s="5" t="s">
        <v>28</v>
      </c>
      <c r="J485" s="5" t="s">
        <v>28</v>
      </c>
      <c r="K485" s="5">
        <f t="shared" si="30"/>
        <v>4</v>
      </c>
      <c r="L485" s="5">
        <f t="shared" si="31"/>
        <v>4</v>
      </c>
      <c r="M485" s="5" t="str">
        <f t="shared" si="28"/>
        <v/>
      </c>
      <c r="N485" s="5" t="s">
        <v>1904</v>
      </c>
      <c r="O485" s="5"/>
      <c r="P485" s="5"/>
      <c r="Q485" s="5"/>
    </row>
    <row r="486" spans="1:17">
      <c r="A486" s="9">
        <v>46178</v>
      </c>
      <c r="B486" s="5" t="s">
        <v>15</v>
      </c>
      <c r="C486" s="5" t="s">
        <v>16</v>
      </c>
      <c r="D486" s="5" t="s">
        <v>1064</v>
      </c>
      <c r="E486" s="5" t="s">
        <v>2688</v>
      </c>
      <c r="F486" s="5">
        <f t="shared" si="29"/>
        <v>21</v>
      </c>
      <c r="G486" s="5" t="s">
        <v>19</v>
      </c>
      <c r="H486" s="5" t="s">
        <v>20</v>
      </c>
      <c r="I486" s="5" t="s">
        <v>28</v>
      </c>
      <c r="J486" s="5" t="s">
        <v>28</v>
      </c>
      <c r="K486" s="5">
        <f t="shared" si="30"/>
        <v>4</v>
      </c>
      <c r="L486" s="5">
        <f t="shared" si="31"/>
        <v>4</v>
      </c>
      <c r="M486" s="5" t="str">
        <f t="shared" si="28"/>
        <v/>
      </c>
      <c r="N486" s="5" t="s">
        <v>3292</v>
      </c>
      <c r="O486" s="5" t="s">
        <v>3293</v>
      </c>
      <c r="P486" s="5" t="s">
        <v>1908</v>
      </c>
      <c r="Q486" s="5"/>
    </row>
    <row r="487" spans="1:17">
      <c r="A487" s="9">
        <v>46178</v>
      </c>
      <c r="B487" s="5" t="s">
        <v>15</v>
      </c>
      <c r="C487" s="5" t="s">
        <v>16</v>
      </c>
      <c r="D487" s="5" t="s">
        <v>177</v>
      </c>
      <c r="E487" s="5" t="s">
        <v>2689</v>
      </c>
      <c r="F487" s="5">
        <f t="shared" si="29"/>
        <v>20</v>
      </c>
      <c r="G487" s="5" t="s">
        <v>19</v>
      </c>
      <c r="H487" s="5" t="s">
        <v>45</v>
      </c>
      <c r="I487" s="5" t="s">
        <v>21</v>
      </c>
      <c r="J487" s="5" t="s">
        <v>21</v>
      </c>
      <c r="K487" s="5">
        <f t="shared" si="30"/>
        <v>3</v>
      </c>
      <c r="L487" s="5">
        <f t="shared" si="31"/>
        <v>3</v>
      </c>
      <c r="M487" s="5" t="str">
        <f t="shared" si="28"/>
        <v/>
      </c>
      <c r="N487" s="5" t="s">
        <v>3294</v>
      </c>
      <c r="O487" s="5" t="s">
        <v>3295</v>
      </c>
      <c r="P487" s="5" t="s">
        <v>2826</v>
      </c>
      <c r="Q487" s="5"/>
    </row>
    <row r="488" spans="1:17">
      <c r="A488" s="9">
        <v>46178</v>
      </c>
      <c r="B488" s="5" t="s">
        <v>1030</v>
      </c>
      <c r="C488" s="5" t="s">
        <v>3408</v>
      </c>
      <c r="D488" s="5" t="s">
        <v>1061</v>
      </c>
      <c r="E488" s="5" t="s">
        <v>2690</v>
      </c>
      <c r="F488" s="5">
        <f t="shared" si="29"/>
        <v>21</v>
      </c>
      <c r="G488" s="5" t="s">
        <v>1034</v>
      </c>
      <c r="H488" s="5" t="s">
        <v>20</v>
      </c>
      <c r="I488" s="5" t="s">
        <v>21</v>
      </c>
      <c r="J488" s="5" t="s">
        <v>21</v>
      </c>
      <c r="K488" s="5">
        <f t="shared" si="30"/>
        <v>3</v>
      </c>
      <c r="L488" s="5">
        <f t="shared" si="31"/>
        <v>3</v>
      </c>
      <c r="M488" s="5" t="str">
        <f t="shared" si="28"/>
        <v/>
      </c>
      <c r="N488" s="5" t="s">
        <v>1914</v>
      </c>
      <c r="O488" s="5" t="s">
        <v>1915</v>
      </c>
      <c r="P488" s="5" t="s">
        <v>1916</v>
      </c>
      <c r="Q488" s="5" t="s">
        <v>123</v>
      </c>
    </row>
    <row r="489" spans="1:17">
      <c r="A489" s="9">
        <v>46178</v>
      </c>
      <c r="B489" s="5" t="s">
        <v>3405</v>
      </c>
      <c r="C489" s="5" t="s">
        <v>3406</v>
      </c>
      <c r="D489" s="5" t="s">
        <v>3405</v>
      </c>
      <c r="E489" s="5" t="s">
        <v>2691</v>
      </c>
      <c r="F489" s="5">
        <f t="shared" si="29"/>
        <v>22</v>
      </c>
      <c r="G489" s="5" t="s">
        <v>1034</v>
      </c>
      <c r="H489" s="5" t="s">
        <v>45</v>
      </c>
      <c r="I489" s="5" t="s">
        <v>21</v>
      </c>
      <c r="J489" s="5" t="s">
        <v>28</v>
      </c>
      <c r="K489" s="5">
        <f t="shared" si="30"/>
        <v>3</v>
      </c>
      <c r="L489" s="5">
        <f t="shared" si="31"/>
        <v>4</v>
      </c>
      <c r="M489" s="5" t="str">
        <f t="shared" si="28"/>
        <v/>
      </c>
      <c r="N489" s="5" t="s">
        <v>3296</v>
      </c>
      <c r="O489" s="5" t="s">
        <v>1919</v>
      </c>
      <c r="P489" s="5" t="s">
        <v>1920</v>
      </c>
      <c r="Q489" s="5" t="s">
        <v>1921</v>
      </c>
    </row>
    <row r="490" spans="1:17">
      <c r="A490" s="9">
        <v>46178</v>
      </c>
      <c r="B490" s="5" t="s">
        <v>3405</v>
      </c>
      <c r="C490" s="5" t="s">
        <v>3406</v>
      </c>
      <c r="D490" s="5" t="s">
        <v>3405</v>
      </c>
      <c r="E490" s="5" t="s">
        <v>2692</v>
      </c>
      <c r="F490" s="5">
        <f t="shared" si="29"/>
        <v>31</v>
      </c>
      <c r="G490" s="5" t="s">
        <v>981</v>
      </c>
      <c r="H490" s="5" t="s">
        <v>45</v>
      </c>
      <c r="I490" s="5" t="s">
        <v>28</v>
      </c>
      <c r="J490" s="5" t="s">
        <v>21</v>
      </c>
      <c r="K490" s="5">
        <f t="shared" si="30"/>
        <v>4</v>
      </c>
      <c r="L490" s="5">
        <f t="shared" si="31"/>
        <v>3</v>
      </c>
      <c r="M490" s="5" t="str">
        <f t="shared" si="28"/>
        <v/>
      </c>
      <c r="N490" s="5" t="s">
        <v>1923</v>
      </c>
      <c r="O490" s="5" t="s">
        <v>1924</v>
      </c>
      <c r="P490" s="5" t="s">
        <v>1925</v>
      </c>
      <c r="Q490" s="5" t="s">
        <v>1926</v>
      </c>
    </row>
    <row r="491" spans="1:17">
      <c r="A491" s="9">
        <v>46178</v>
      </c>
      <c r="B491" s="5" t="s">
        <v>3405</v>
      </c>
      <c r="C491" s="5" t="s">
        <v>3406</v>
      </c>
      <c r="D491" s="5" t="s">
        <v>3405</v>
      </c>
      <c r="E491" s="5" t="s">
        <v>3297</v>
      </c>
      <c r="F491" s="5">
        <f t="shared" si="29"/>
        <v>34</v>
      </c>
      <c r="G491" s="5" t="s">
        <v>1034</v>
      </c>
      <c r="H491" s="5" t="s">
        <v>20</v>
      </c>
      <c r="I491" s="5" t="s">
        <v>21</v>
      </c>
      <c r="J491" s="5" t="s">
        <v>21</v>
      </c>
      <c r="K491" s="5">
        <f t="shared" si="30"/>
        <v>3</v>
      </c>
      <c r="L491" s="5">
        <f t="shared" si="31"/>
        <v>3</v>
      </c>
      <c r="M491" s="5" t="str">
        <f t="shared" si="28"/>
        <v/>
      </c>
      <c r="N491" s="5" t="s">
        <v>3298</v>
      </c>
      <c r="O491" s="5" t="s">
        <v>3299</v>
      </c>
      <c r="P491" s="5" t="s">
        <v>3300</v>
      </c>
      <c r="Q491" s="5" t="s">
        <v>3301</v>
      </c>
    </row>
    <row r="492" spans="1:17">
      <c r="A492" s="9">
        <v>46178</v>
      </c>
      <c r="B492" s="5" t="s">
        <v>3405</v>
      </c>
      <c r="C492" s="5" t="s">
        <v>3406</v>
      </c>
      <c r="D492" s="5" t="s">
        <v>3405</v>
      </c>
      <c r="E492" s="5" t="s">
        <v>3420</v>
      </c>
      <c r="F492" s="5">
        <f t="shared" si="29"/>
        <v>37</v>
      </c>
      <c r="G492" s="5" t="s">
        <v>1034</v>
      </c>
      <c r="H492" s="5" t="s">
        <v>45</v>
      </c>
      <c r="I492" s="5" t="s">
        <v>28</v>
      </c>
      <c r="J492" s="5" t="s">
        <v>28</v>
      </c>
      <c r="K492" s="5">
        <f t="shared" si="30"/>
        <v>4</v>
      </c>
      <c r="L492" s="5">
        <f t="shared" si="31"/>
        <v>4</v>
      </c>
      <c r="M492" s="5" t="str">
        <f t="shared" si="28"/>
        <v/>
      </c>
      <c r="N492" s="5" t="s">
        <v>3302</v>
      </c>
      <c r="O492" s="5" t="s">
        <v>3303</v>
      </c>
      <c r="P492" s="5" t="s">
        <v>3304</v>
      </c>
      <c r="Q492" s="5" t="s">
        <v>3597</v>
      </c>
    </row>
    <row r="493" spans="1:17">
      <c r="A493" s="9">
        <v>46178</v>
      </c>
      <c r="B493" s="5" t="s">
        <v>15</v>
      </c>
      <c r="C493" s="5" t="s">
        <v>16</v>
      </c>
      <c r="D493" s="5" t="s">
        <v>177</v>
      </c>
      <c r="E493" s="5" t="s">
        <v>2693</v>
      </c>
      <c r="F493" s="5">
        <f t="shared" si="29"/>
        <v>22</v>
      </c>
      <c r="G493" s="5" t="s">
        <v>19</v>
      </c>
      <c r="H493" s="5" t="s">
        <v>20</v>
      </c>
      <c r="I493" s="5" t="s">
        <v>21</v>
      </c>
      <c r="J493" s="5" t="s">
        <v>28</v>
      </c>
      <c r="K493" s="5">
        <f t="shared" si="30"/>
        <v>3</v>
      </c>
      <c r="L493" s="5">
        <f t="shared" si="31"/>
        <v>4</v>
      </c>
      <c r="M493" s="5" t="str">
        <f t="shared" si="28"/>
        <v/>
      </c>
      <c r="N493" s="5" t="s">
        <v>1938</v>
      </c>
      <c r="O493" s="5" t="s">
        <v>1939</v>
      </c>
      <c r="P493" s="5" t="s">
        <v>1940</v>
      </c>
      <c r="Q493" s="5" t="s">
        <v>1941</v>
      </c>
    </row>
    <row r="494" spans="1:17">
      <c r="A494" s="9">
        <v>46178</v>
      </c>
      <c r="B494" s="5" t="s">
        <v>3405</v>
      </c>
      <c r="C494" s="5" t="s">
        <v>3406</v>
      </c>
      <c r="D494" s="5" t="s">
        <v>3405</v>
      </c>
      <c r="E494" s="5" t="s">
        <v>2694</v>
      </c>
      <c r="F494" s="5">
        <f t="shared" si="29"/>
        <v>24</v>
      </c>
      <c r="G494" s="5" t="s">
        <v>1034</v>
      </c>
      <c r="H494" s="5" t="s">
        <v>45</v>
      </c>
      <c r="I494" s="5" t="s">
        <v>28</v>
      </c>
      <c r="J494" s="5" t="s">
        <v>28</v>
      </c>
      <c r="K494" s="5">
        <f t="shared" si="30"/>
        <v>4</v>
      </c>
      <c r="L494" s="5">
        <f t="shared" si="31"/>
        <v>4</v>
      </c>
      <c r="M494" s="5" t="str">
        <f t="shared" si="28"/>
        <v/>
      </c>
      <c r="N494" s="5" t="s">
        <v>3305</v>
      </c>
      <c r="O494" s="5" t="s">
        <v>1944</v>
      </c>
      <c r="P494" s="5" t="s">
        <v>1945</v>
      </c>
      <c r="Q494" s="5" t="s">
        <v>1946</v>
      </c>
    </row>
    <row r="495" spans="1:17">
      <c r="A495" s="9">
        <v>46178</v>
      </c>
      <c r="B495" s="5" t="s">
        <v>3405</v>
      </c>
      <c r="C495" s="5" t="s">
        <v>3406</v>
      </c>
      <c r="D495" s="5" t="s">
        <v>3405</v>
      </c>
      <c r="E495" s="5" t="s">
        <v>2695</v>
      </c>
      <c r="F495" s="5">
        <f t="shared" si="29"/>
        <v>22</v>
      </c>
      <c r="G495" s="5" t="s">
        <v>1034</v>
      </c>
      <c r="H495" s="5" t="s">
        <v>20</v>
      </c>
      <c r="I495" s="5" t="s">
        <v>28</v>
      </c>
      <c r="J495" s="5" t="s">
        <v>28</v>
      </c>
      <c r="K495" s="5">
        <f t="shared" si="30"/>
        <v>4</v>
      </c>
      <c r="L495" s="5">
        <f t="shared" si="31"/>
        <v>4</v>
      </c>
      <c r="M495" s="5" t="str">
        <f t="shared" si="28"/>
        <v/>
      </c>
      <c r="N495" s="5" t="s">
        <v>3598</v>
      </c>
      <c r="O495" s="5" t="s">
        <v>1949</v>
      </c>
      <c r="P495" s="5" t="s">
        <v>3599</v>
      </c>
      <c r="Q495" s="5" t="s">
        <v>3600</v>
      </c>
    </row>
    <row r="496" spans="1:17">
      <c r="A496" s="9">
        <v>46178</v>
      </c>
      <c r="B496" s="5" t="s">
        <v>1030</v>
      </c>
      <c r="C496" s="5" t="s">
        <v>3408</v>
      </c>
      <c r="D496" s="5" t="s">
        <v>1061</v>
      </c>
      <c r="E496" s="5" t="s">
        <v>2696</v>
      </c>
      <c r="F496" s="5">
        <f t="shared" si="29"/>
        <v>24</v>
      </c>
      <c r="G496" s="5" t="s">
        <v>981</v>
      </c>
      <c r="H496" s="5" t="s">
        <v>20</v>
      </c>
      <c r="I496" s="5" t="s">
        <v>28</v>
      </c>
      <c r="J496" s="5" t="s">
        <v>28</v>
      </c>
      <c r="K496" s="5">
        <f t="shared" si="30"/>
        <v>4</v>
      </c>
      <c r="L496" s="5">
        <f t="shared" si="31"/>
        <v>4</v>
      </c>
      <c r="M496" s="5" t="str">
        <f t="shared" si="28"/>
        <v/>
      </c>
      <c r="N496" s="5" t="s">
        <v>1953</v>
      </c>
      <c r="O496" s="5" t="s">
        <v>1328</v>
      </c>
      <c r="P496" s="5"/>
      <c r="Q496" s="5"/>
    </row>
    <row r="497" spans="1:17">
      <c r="A497" s="9">
        <v>46178</v>
      </c>
      <c r="B497" s="5" t="s">
        <v>3405</v>
      </c>
      <c r="C497" s="5" t="s">
        <v>3406</v>
      </c>
      <c r="D497" s="5" t="s">
        <v>3405</v>
      </c>
      <c r="E497" s="5" t="s">
        <v>2697</v>
      </c>
      <c r="F497" s="5">
        <f t="shared" si="29"/>
        <v>21</v>
      </c>
      <c r="G497" s="5" t="s">
        <v>1034</v>
      </c>
      <c r="H497" s="5" t="s">
        <v>45</v>
      </c>
      <c r="I497" s="5" t="s">
        <v>21</v>
      </c>
      <c r="J497" s="5" t="s">
        <v>21</v>
      </c>
      <c r="K497" s="5">
        <f t="shared" si="30"/>
        <v>3</v>
      </c>
      <c r="L497" s="5">
        <f t="shared" si="31"/>
        <v>3</v>
      </c>
      <c r="M497" s="5" t="str">
        <f t="shared" si="28"/>
        <v/>
      </c>
      <c r="N497" s="5" t="s">
        <v>1955</v>
      </c>
      <c r="O497" s="5" t="s">
        <v>1956</v>
      </c>
      <c r="P497" s="5" t="s">
        <v>1957</v>
      </c>
      <c r="Q497" s="5" t="s">
        <v>1958</v>
      </c>
    </row>
    <row r="498" spans="1:17">
      <c r="A498" s="9">
        <v>46178</v>
      </c>
      <c r="B498" s="5" t="s">
        <v>81</v>
      </c>
      <c r="C498" s="5" t="s">
        <v>82</v>
      </c>
      <c r="D498" s="5" t="s">
        <v>83</v>
      </c>
      <c r="E498" s="5" t="s">
        <v>2698</v>
      </c>
      <c r="F498" s="5">
        <f t="shared" si="29"/>
        <v>20</v>
      </c>
      <c r="G498" s="5" t="s">
        <v>19</v>
      </c>
      <c r="H498" s="5" t="s">
        <v>20</v>
      </c>
      <c r="I498" s="5" t="s">
        <v>21</v>
      </c>
      <c r="J498" s="5" t="s">
        <v>21</v>
      </c>
      <c r="K498" s="5">
        <f t="shared" si="30"/>
        <v>3</v>
      </c>
      <c r="L498" s="5">
        <f t="shared" si="31"/>
        <v>3</v>
      </c>
      <c r="M498" s="5" t="str">
        <f t="shared" si="28"/>
        <v/>
      </c>
      <c r="N498" s="5" t="s">
        <v>1960</v>
      </c>
      <c r="O498" s="5" t="s">
        <v>3601</v>
      </c>
      <c r="P498" s="5" t="s">
        <v>3602</v>
      </c>
      <c r="Q498" s="5" t="s">
        <v>1963</v>
      </c>
    </row>
    <row r="499" spans="1:17">
      <c r="A499" s="9">
        <v>46178</v>
      </c>
      <c r="B499" s="5" t="s">
        <v>3405</v>
      </c>
      <c r="C499" s="5" t="s">
        <v>3406</v>
      </c>
      <c r="D499" s="5" t="s">
        <v>3405</v>
      </c>
      <c r="E499" s="5" t="s">
        <v>3420</v>
      </c>
      <c r="F499" s="5">
        <f t="shared" si="29"/>
        <v>37</v>
      </c>
      <c r="G499" s="5" t="s">
        <v>1034</v>
      </c>
      <c r="H499" s="5" t="s">
        <v>45</v>
      </c>
      <c r="I499" s="5" t="s">
        <v>28</v>
      </c>
      <c r="J499" s="5" t="s">
        <v>28</v>
      </c>
      <c r="K499" s="5">
        <f t="shared" si="30"/>
        <v>4</v>
      </c>
      <c r="L499" s="5">
        <f t="shared" si="31"/>
        <v>4</v>
      </c>
      <c r="M499" s="5" t="str">
        <f t="shared" si="28"/>
        <v/>
      </c>
      <c r="N499" s="5" t="s">
        <v>3306</v>
      </c>
      <c r="O499" s="5" t="s">
        <v>3303</v>
      </c>
      <c r="P499" s="5" t="s">
        <v>3603</v>
      </c>
      <c r="Q499" s="5" t="s">
        <v>3307</v>
      </c>
    </row>
    <row r="500" spans="1:17">
      <c r="A500" s="9">
        <v>46178</v>
      </c>
      <c r="B500" s="5" t="s">
        <v>1030</v>
      </c>
      <c r="C500" s="5" t="s">
        <v>3408</v>
      </c>
      <c r="D500" s="5" t="s">
        <v>1061</v>
      </c>
      <c r="E500" s="5" t="s">
        <v>2811</v>
      </c>
      <c r="F500" s="5">
        <f t="shared" si="29"/>
        <v>47</v>
      </c>
      <c r="G500" s="5" t="s">
        <v>981</v>
      </c>
      <c r="H500" s="5" t="s">
        <v>20</v>
      </c>
      <c r="I500" s="5" t="s">
        <v>21</v>
      </c>
      <c r="J500" s="5" t="s">
        <v>21</v>
      </c>
      <c r="K500" s="5">
        <f t="shared" si="30"/>
        <v>3</v>
      </c>
      <c r="L500" s="5">
        <f t="shared" si="31"/>
        <v>3</v>
      </c>
      <c r="M500" s="5" t="str">
        <f t="shared" si="28"/>
        <v/>
      </c>
      <c r="N500" s="5" t="s">
        <v>1968</v>
      </c>
      <c r="O500" s="5"/>
      <c r="P500" s="5" t="s">
        <v>1969</v>
      </c>
      <c r="Q500" s="5"/>
    </row>
    <row r="501" spans="1:17">
      <c r="A501" s="9">
        <v>46178</v>
      </c>
      <c r="B501" s="5" t="s">
        <v>3405</v>
      </c>
      <c r="C501" s="5" t="s">
        <v>3406</v>
      </c>
      <c r="D501" s="5" t="s">
        <v>3405</v>
      </c>
      <c r="E501" s="5" t="s">
        <v>2697</v>
      </c>
      <c r="F501" s="5">
        <f t="shared" si="29"/>
        <v>21</v>
      </c>
      <c r="G501" s="5" t="s">
        <v>1034</v>
      </c>
      <c r="H501" s="5" t="s">
        <v>45</v>
      </c>
      <c r="I501" s="5" t="s">
        <v>21</v>
      </c>
      <c r="J501" s="5" t="s">
        <v>21</v>
      </c>
      <c r="K501" s="5">
        <f t="shared" si="30"/>
        <v>3</v>
      </c>
      <c r="L501" s="5">
        <f t="shared" si="31"/>
        <v>3</v>
      </c>
      <c r="M501" s="5" t="str">
        <f t="shared" si="28"/>
        <v/>
      </c>
      <c r="N501" s="5" t="s">
        <v>1970</v>
      </c>
      <c r="O501" s="5" t="s">
        <v>1971</v>
      </c>
      <c r="P501" s="5" t="s">
        <v>1972</v>
      </c>
      <c r="Q501" s="5" t="s">
        <v>1973</v>
      </c>
    </row>
    <row r="502" spans="1:17">
      <c r="A502" s="9">
        <v>46178</v>
      </c>
      <c r="B502" s="5" t="s">
        <v>3405</v>
      </c>
      <c r="C502" s="5" t="s">
        <v>3406</v>
      </c>
      <c r="D502" s="5" t="s">
        <v>3405</v>
      </c>
      <c r="E502" s="5" t="s">
        <v>2699</v>
      </c>
      <c r="F502" s="5">
        <f t="shared" si="29"/>
        <v>27</v>
      </c>
      <c r="G502" s="5" t="s">
        <v>1034</v>
      </c>
      <c r="H502" s="5" t="s">
        <v>45</v>
      </c>
      <c r="I502" s="5" t="s">
        <v>21</v>
      </c>
      <c r="J502" s="5" t="s">
        <v>28</v>
      </c>
      <c r="K502" s="5">
        <f t="shared" si="30"/>
        <v>3</v>
      </c>
      <c r="L502" s="5">
        <f t="shared" si="31"/>
        <v>4</v>
      </c>
      <c r="M502" s="5" t="str">
        <f t="shared" si="28"/>
        <v/>
      </c>
      <c r="N502" s="5" t="s">
        <v>1975</v>
      </c>
      <c r="O502" s="5" t="s">
        <v>1976</v>
      </c>
      <c r="P502" s="5" t="s">
        <v>1977</v>
      </c>
      <c r="Q502" s="5"/>
    </row>
    <row r="503" spans="1:17">
      <c r="A503" s="9">
        <v>46178</v>
      </c>
      <c r="B503" s="5" t="s">
        <v>3405</v>
      </c>
      <c r="C503" s="5" t="s">
        <v>3406</v>
      </c>
      <c r="D503" s="5" t="s">
        <v>3405</v>
      </c>
      <c r="E503" s="5" t="s">
        <v>2697</v>
      </c>
      <c r="F503" s="5">
        <f t="shared" si="29"/>
        <v>21</v>
      </c>
      <c r="G503" s="5" t="s">
        <v>1034</v>
      </c>
      <c r="H503" s="5" t="s">
        <v>20</v>
      </c>
      <c r="I503" s="5" t="s">
        <v>21</v>
      </c>
      <c r="J503" s="5" t="s">
        <v>21</v>
      </c>
      <c r="K503" s="5">
        <f t="shared" si="30"/>
        <v>3</v>
      </c>
      <c r="L503" s="5">
        <f t="shared" si="31"/>
        <v>3</v>
      </c>
      <c r="M503" s="5" t="str">
        <f t="shared" si="28"/>
        <v/>
      </c>
      <c r="N503" s="5" t="s">
        <v>1978</v>
      </c>
      <c r="O503" s="5" t="s">
        <v>1979</v>
      </c>
      <c r="P503" s="5" t="s">
        <v>1980</v>
      </c>
      <c r="Q503" s="5" t="s">
        <v>1981</v>
      </c>
    </row>
    <row r="504" spans="1:17">
      <c r="A504" s="9">
        <v>46178</v>
      </c>
      <c r="B504" s="5" t="s">
        <v>3405</v>
      </c>
      <c r="C504" s="5" t="s">
        <v>3406</v>
      </c>
      <c r="D504" s="5" t="s">
        <v>3405</v>
      </c>
      <c r="E504" s="5" t="s">
        <v>2680</v>
      </c>
      <c r="F504" s="5">
        <f t="shared" si="29"/>
        <v>35</v>
      </c>
      <c r="G504" s="5" t="s">
        <v>1034</v>
      </c>
      <c r="H504" s="5" t="s">
        <v>20</v>
      </c>
      <c r="I504" s="5" t="s">
        <v>28</v>
      </c>
      <c r="J504" s="5" t="s">
        <v>28</v>
      </c>
      <c r="K504" s="5">
        <f t="shared" si="30"/>
        <v>4</v>
      </c>
      <c r="L504" s="5">
        <f t="shared" si="31"/>
        <v>4</v>
      </c>
      <c r="M504" s="5" t="str">
        <f t="shared" si="28"/>
        <v/>
      </c>
      <c r="N504" s="5" t="s">
        <v>1982</v>
      </c>
      <c r="O504" s="5" t="s">
        <v>1983</v>
      </c>
      <c r="P504" s="5" t="s">
        <v>1984</v>
      </c>
      <c r="Q504" s="5"/>
    </row>
    <row r="505" spans="1:17">
      <c r="A505" s="9">
        <v>46178</v>
      </c>
      <c r="B505" s="5" t="s">
        <v>1030</v>
      </c>
      <c r="C505" s="5" t="s">
        <v>3408</v>
      </c>
      <c r="D505" s="5" t="s">
        <v>1032</v>
      </c>
      <c r="E505" s="5" t="s">
        <v>2700</v>
      </c>
      <c r="F505" s="5">
        <f t="shared" si="29"/>
        <v>22</v>
      </c>
      <c r="G505" s="5" t="s">
        <v>1034</v>
      </c>
      <c r="H505" s="5" t="s">
        <v>20</v>
      </c>
      <c r="I505" s="5" t="s">
        <v>21</v>
      </c>
      <c r="J505" s="5" t="s">
        <v>21</v>
      </c>
      <c r="K505" s="5">
        <f t="shared" si="30"/>
        <v>3</v>
      </c>
      <c r="L505" s="5">
        <f t="shared" si="31"/>
        <v>3</v>
      </c>
      <c r="M505" s="5" t="str">
        <f t="shared" si="28"/>
        <v/>
      </c>
      <c r="N505" s="5" t="s">
        <v>1986</v>
      </c>
      <c r="O505" s="5" t="s">
        <v>1987</v>
      </c>
      <c r="P505" s="5" t="s">
        <v>1988</v>
      </c>
      <c r="Q505" s="5" t="s">
        <v>1989</v>
      </c>
    </row>
    <row r="506" spans="1:17">
      <c r="A506" s="9">
        <v>46178</v>
      </c>
      <c r="B506" s="5" t="s">
        <v>3405</v>
      </c>
      <c r="C506" s="5" t="s">
        <v>3406</v>
      </c>
      <c r="D506" s="5" t="s">
        <v>3405</v>
      </c>
      <c r="E506" s="5" t="s">
        <v>2701</v>
      </c>
      <c r="F506" s="5">
        <f t="shared" si="29"/>
        <v>23</v>
      </c>
      <c r="G506" s="5" t="s">
        <v>1034</v>
      </c>
      <c r="H506" s="5" t="s">
        <v>20</v>
      </c>
      <c r="I506" s="5" t="s">
        <v>21</v>
      </c>
      <c r="J506" s="5" t="s">
        <v>28</v>
      </c>
      <c r="K506" s="5">
        <f t="shared" si="30"/>
        <v>3</v>
      </c>
      <c r="L506" s="5">
        <f t="shared" si="31"/>
        <v>4</v>
      </c>
      <c r="M506" s="5" t="str">
        <f t="shared" si="28"/>
        <v/>
      </c>
      <c r="N506" s="5" t="s">
        <v>1991</v>
      </c>
      <c r="O506" s="5" t="s">
        <v>1992</v>
      </c>
      <c r="P506" s="5" t="s">
        <v>1993</v>
      </c>
      <c r="Q506" s="5"/>
    </row>
    <row r="507" spans="1:17">
      <c r="A507" s="9">
        <v>46178</v>
      </c>
      <c r="B507" s="5" t="s">
        <v>3405</v>
      </c>
      <c r="C507" s="5" t="s">
        <v>3406</v>
      </c>
      <c r="D507" s="5" t="s">
        <v>3405</v>
      </c>
      <c r="E507" s="5" t="s">
        <v>3308</v>
      </c>
      <c r="F507" s="5">
        <f t="shared" si="29"/>
        <v>34</v>
      </c>
      <c r="G507" s="5" t="s">
        <v>1034</v>
      </c>
      <c r="H507" s="5" t="s">
        <v>20</v>
      </c>
      <c r="I507" s="5" t="s">
        <v>21</v>
      </c>
      <c r="J507" s="5" t="s">
        <v>28</v>
      </c>
      <c r="K507" s="5">
        <f t="shared" si="30"/>
        <v>3</v>
      </c>
      <c r="L507" s="5">
        <f t="shared" si="31"/>
        <v>4</v>
      </c>
      <c r="M507" s="5" t="str">
        <f t="shared" si="28"/>
        <v/>
      </c>
      <c r="N507" s="5" t="s">
        <v>1995</v>
      </c>
      <c r="O507" s="5" t="s">
        <v>1996</v>
      </c>
      <c r="P507" s="5" t="s">
        <v>1997</v>
      </c>
      <c r="Q507" s="5" t="s">
        <v>1998</v>
      </c>
    </row>
    <row r="508" spans="1:17">
      <c r="A508" s="9">
        <v>46178</v>
      </c>
      <c r="B508" s="5" t="s">
        <v>3405</v>
      </c>
      <c r="C508" s="5" t="s">
        <v>3406</v>
      </c>
      <c r="D508" s="5" t="s">
        <v>3405</v>
      </c>
      <c r="E508" s="5" t="s">
        <v>2697</v>
      </c>
      <c r="F508" s="5">
        <f t="shared" si="29"/>
        <v>21</v>
      </c>
      <c r="G508" s="5" t="s">
        <v>1034</v>
      </c>
      <c r="H508" s="5" t="s">
        <v>45</v>
      </c>
      <c r="I508" s="5" t="s">
        <v>21</v>
      </c>
      <c r="J508" s="5" t="s">
        <v>21</v>
      </c>
      <c r="K508" s="5">
        <f t="shared" si="30"/>
        <v>3</v>
      </c>
      <c r="L508" s="5">
        <f t="shared" si="31"/>
        <v>3</v>
      </c>
      <c r="M508" s="5" t="str">
        <f t="shared" si="28"/>
        <v/>
      </c>
      <c r="N508" s="5" t="s">
        <v>1999</v>
      </c>
      <c r="O508" s="5" t="s">
        <v>2000</v>
      </c>
      <c r="P508" s="5" t="s">
        <v>2001</v>
      </c>
      <c r="Q508" s="5" t="s">
        <v>2002</v>
      </c>
    </row>
    <row r="509" spans="1:17">
      <c r="A509" s="9">
        <v>46178</v>
      </c>
      <c r="B509" s="5" t="s">
        <v>15</v>
      </c>
      <c r="C509" s="5" t="s">
        <v>33</v>
      </c>
      <c r="D509" s="5" t="s">
        <v>62</v>
      </c>
      <c r="E509" s="5" t="s">
        <v>2702</v>
      </c>
      <c r="F509" s="5">
        <f t="shared" si="29"/>
        <v>28</v>
      </c>
      <c r="G509" s="5" t="s">
        <v>19</v>
      </c>
      <c r="H509" s="5" t="s">
        <v>45</v>
      </c>
      <c r="I509" s="5" t="s">
        <v>21</v>
      </c>
      <c r="J509" s="5" t="s">
        <v>21</v>
      </c>
      <c r="K509" s="5">
        <f t="shared" si="30"/>
        <v>3</v>
      </c>
      <c r="L509" s="5">
        <f t="shared" si="31"/>
        <v>3</v>
      </c>
      <c r="M509" s="5" t="str">
        <f t="shared" si="28"/>
        <v/>
      </c>
      <c r="N509" s="5" t="s">
        <v>2004</v>
      </c>
      <c r="O509" s="5" t="s">
        <v>2005</v>
      </c>
      <c r="P509" s="5" t="s">
        <v>2827</v>
      </c>
      <c r="Q509" s="5"/>
    </row>
    <row r="510" spans="1:17">
      <c r="A510" s="9">
        <v>46178</v>
      </c>
      <c r="B510" s="5" t="s">
        <v>1030</v>
      </c>
      <c r="C510" s="5" t="s">
        <v>3408</v>
      </c>
      <c r="D510" s="5" t="s">
        <v>1061</v>
      </c>
      <c r="E510" s="5" t="s">
        <v>2601</v>
      </c>
      <c r="F510" s="5">
        <f t="shared" si="29"/>
        <v>23</v>
      </c>
      <c r="G510" s="5" t="s">
        <v>1034</v>
      </c>
      <c r="H510" s="5" t="s">
        <v>20</v>
      </c>
      <c r="I510" s="5" t="s">
        <v>21</v>
      </c>
      <c r="J510" s="5" t="s">
        <v>21</v>
      </c>
      <c r="K510" s="5">
        <f t="shared" si="30"/>
        <v>3</v>
      </c>
      <c r="L510" s="5">
        <f t="shared" si="31"/>
        <v>3</v>
      </c>
      <c r="M510" s="5" t="str">
        <f t="shared" si="28"/>
        <v/>
      </c>
      <c r="N510" s="5" t="s">
        <v>2007</v>
      </c>
      <c r="O510" s="5" t="s">
        <v>2008</v>
      </c>
      <c r="P510" s="5" t="s">
        <v>2009</v>
      </c>
      <c r="Q510" s="5" t="s">
        <v>2010</v>
      </c>
    </row>
    <row r="511" spans="1:17">
      <c r="A511" s="9">
        <v>46178</v>
      </c>
      <c r="B511" s="5" t="s">
        <v>3405</v>
      </c>
      <c r="C511" s="5" t="s">
        <v>3406</v>
      </c>
      <c r="D511" s="5" t="s">
        <v>3405</v>
      </c>
      <c r="E511" s="5" t="s">
        <v>3308</v>
      </c>
      <c r="F511" s="5">
        <f t="shared" si="29"/>
        <v>34</v>
      </c>
      <c r="G511" s="5" t="s">
        <v>1034</v>
      </c>
      <c r="H511" s="5" t="s">
        <v>20</v>
      </c>
      <c r="I511" s="5" t="s">
        <v>28</v>
      </c>
      <c r="J511" s="5" t="s">
        <v>21</v>
      </c>
      <c r="K511" s="5">
        <f t="shared" si="30"/>
        <v>4</v>
      </c>
      <c r="L511" s="5">
        <f t="shared" si="31"/>
        <v>3</v>
      </c>
      <c r="M511" s="5" t="str">
        <f t="shared" si="28"/>
        <v/>
      </c>
      <c r="N511" s="5" t="s">
        <v>2011</v>
      </c>
      <c r="O511" s="5" t="s">
        <v>2012</v>
      </c>
      <c r="P511" s="5" t="s">
        <v>2013</v>
      </c>
      <c r="Q511" s="5" t="s">
        <v>2014</v>
      </c>
    </row>
    <row r="512" spans="1:17">
      <c r="A512" s="9">
        <v>46178</v>
      </c>
      <c r="B512" s="5" t="s">
        <v>15</v>
      </c>
      <c r="C512" s="5" t="s">
        <v>33</v>
      </c>
      <c r="D512" s="5" t="s">
        <v>62</v>
      </c>
      <c r="E512" s="5" t="s">
        <v>3309</v>
      </c>
      <c r="F512" s="5">
        <f t="shared" si="29"/>
        <v>25</v>
      </c>
      <c r="G512" s="5" t="s">
        <v>19</v>
      </c>
      <c r="H512" s="5" t="s">
        <v>20</v>
      </c>
      <c r="I512" s="5" t="s">
        <v>28</v>
      </c>
      <c r="J512" s="5" t="s">
        <v>28</v>
      </c>
      <c r="K512" s="5">
        <f t="shared" si="30"/>
        <v>4</v>
      </c>
      <c r="L512" s="5">
        <f t="shared" si="31"/>
        <v>4</v>
      </c>
      <c r="M512" s="5" t="str">
        <f t="shared" si="28"/>
        <v/>
      </c>
      <c r="N512" s="5" t="s">
        <v>3310</v>
      </c>
      <c r="O512" s="5" t="s">
        <v>3311</v>
      </c>
      <c r="P512" s="5" t="s">
        <v>3312</v>
      </c>
      <c r="Q512" s="5"/>
    </row>
    <row r="513" spans="1:17">
      <c r="A513" s="9">
        <v>46178</v>
      </c>
      <c r="B513" s="5" t="s">
        <v>3405</v>
      </c>
      <c r="C513" s="5" t="s">
        <v>3406</v>
      </c>
      <c r="D513" s="5" t="s">
        <v>3405</v>
      </c>
      <c r="E513" s="5" t="s">
        <v>3313</v>
      </c>
      <c r="F513" s="5">
        <f t="shared" si="29"/>
        <v>53</v>
      </c>
      <c r="G513" s="5" t="s">
        <v>1034</v>
      </c>
      <c r="H513" s="5" t="s">
        <v>20</v>
      </c>
      <c r="I513" s="5" t="s">
        <v>21</v>
      </c>
      <c r="J513" s="5" t="s">
        <v>28</v>
      </c>
      <c r="K513" s="5">
        <f t="shared" si="30"/>
        <v>3</v>
      </c>
      <c r="L513" s="5">
        <f t="shared" si="31"/>
        <v>4</v>
      </c>
      <c r="M513" s="5" t="str">
        <f t="shared" si="28"/>
        <v/>
      </c>
      <c r="N513" s="5" t="s">
        <v>2020</v>
      </c>
      <c r="O513" s="5" t="s">
        <v>2021</v>
      </c>
      <c r="P513" s="5" t="s">
        <v>3314</v>
      </c>
      <c r="Q513" s="5"/>
    </row>
    <row r="514" spans="1:17">
      <c r="A514" s="9">
        <v>46178</v>
      </c>
      <c r="B514" s="5" t="s">
        <v>3405</v>
      </c>
      <c r="C514" s="5" t="s">
        <v>3406</v>
      </c>
      <c r="D514" s="5" t="s">
        <v>3405</v>
      </c>
      <c r="E514" s="5" t="s">
        <v>2703</v>
      </c>
      <c r="F514" s="5">
        <f t="shared" si="29"/>
        <v>24</v>
      </c>
      <c r="G514" s="5" t="s">
        <v>1034</v>
      </c>
      <c r="H514" s="5" t="s">
        <v>45</v>
      </c>
      <c r="I514" s="5" t="s">
        <v>21</v>
      </c>
      <c r="J514" s="5" t="s">
        <v>21</v>
      </c>
      <c r="K514" s="5">
        <f t="shared" si="30"/>
        <v>3</v>
      </c>
      <c r="L514" s="5">
        <f t="shared" si="31"/>
        <v>3</v>
      </c>
      <c r="M514" s="5" t="str">
        <f t="shared" ref="M514:M577" si="32">IF(OR(I514="Poor",I514="Very Poor"),"YES","")</f>
        <v/>
      </c>
      <c r="N514" s="5" t="s">
        <v>69</v>
      </c>
      <c r="O514" s="5" t="s">
        <v>2024</v>
      </c>
      <c r="P514" s="5" t="s">
        <v>2025</v>
      </c>
      <c r="Q514" s="5" t="s">
        <v>3315</v>
      </c>
    </row>
    <row r="515" spans="1:17">
      <c r="A515" s="9">
        <v>46178</v>
      </c>
      <c r="B515" s="5" t="s">
        <v>3405</v>
      </c>
      <c r="C515" s="5" t="s">
        <v>3406</v>
      </c>
      <c r="D515" s="5" t="s">
        <v>3405</v>
      </c>
      <c r="E515" s="5" t="s">
        <v>2703</v>
      </c>
      <c r="F515" s="5">
        <f t="shared" ref="F515:F578" si="33">LEN(E515)</f>
        <v>24</v>
      </c>
      <c r="G515" s="5" t="s">
        <v>1034</v>
      </c>
      <c r="H515" s="5" t="s">
        <v>20</v>
      </c>
      <c r="I515" s="5" t="s">
        <v>21</v>
      </c>
      <c r="J515" s="5" t="s">
        <v>21</v>
      </c>
      <c r="K515" s="5">
        <f t="shared" ref="K515:K578" si="34">IF(I515="Very Good",4,IF(I515="Good",3,IF(I515="Poor",2,IF(I515="Very Poor",1,""))))</f>
        <v>3</v>
      </c>
      <c r="L515" s="5">
        <f t="shared" ref="L515:L578" si="35">IF(J515="Very Good",4,IF(J515="Good",3,IF(J515="Poor",2,IF(J515="Very Poor",1,""))))</f>
        <v>3</v>
      </c>
      <c r="M515" s="5" t="str">
        <f t="shared" si="32"/>
        <v/>
      </c>
      <c r="N515" s="5" t="s">
        <v>2027</v>
      </c>
      <c r="O515" s="5" t="s">
        <v>2024</v>
      </c>
      <c r="P515" s="5" t="s">
        <v>2025</v>
      </c>
      <c r="Q515" s="5" t="s">
        <v>2028</v>
      </c>
    </row>
    <row r="516" spans="1:17">
      <c r="A516" s="9">
        <v>46178</v>
      </c>
      <c r="B516" s="5" t="s">
        <v>15</v>
      </c>
      <c r="C516" s="5" t="s">
        <v>39</v>
      </c>
      <c r="D516" s="5" t="s">
        <v>3382</v>
      </c>
      <c r="E516" s="5" t="s">
        <v>2812</v>
      </c>
      <c r="F516" s="5">
        <f t="shared" si="33"/>
        <v>33</v>
      </c>
      <c r="G516" s="5" t="s">
        <v>19</v>
      </c>
      <c r="H516" s="5" t="s">
        <v>20</v>
      </c>
      <c r="I516" s="5" t="s">
        <v>28</v>
      </c>
      <c r="J516" s="5" t="s">
        <v>28</v>
      </c>
      <c r="K516" s="5">
        <f t="shared" si="34"/>
        <v>4</v>
      </c>
      <c r="L516" s="5">
        <f t="shared" si="35"/>
        <v>4</v>
      </c>
      <c r="M516" s="5" t="str">
        <f t="shared" si="32"/>
        <v/>
      </c>
      <c r="N516" s="5" t="s">
        <v>2030</v>
      </c>
      <c r="O516" s="5" t="s">
        <v>2813</v>
      </c>
      <c r="P516" s="5" t="s">
        <v>3316</v>
      </c>
      <c r="Q516" s="5"/>
    </row>
    <row r="517" spans="1:17">
      <c r="A517" s="9">
        <v>46178</v>
      </c>
      <c r="B517" s="5" t="s">
        <v>3405</v>
      </c>
      <c r="C517" s="5" t="s">
        <v>3406</v>
      </c>
      <c r="D517" s="5" t="s">
        <v>3405</v>
      </c>
      <c r="E517" s="5" t="s">
        <v>2704</v>
      </c>
      <c r="F517" s="5">
        <f t="shared" si="33"/>
        <v>25</v>
      </c>
      <c r="G517" s="5" t="s">
        <v>1034</v>
      </c>
      <c r="H517" s="5" t="s">
        <v>45</v>
      </c>
      <c r="I517" s="5" t="s">
        <v>28</v>
      </c>
      <c r="J517" s="5" t="s">
        <v>21</v>
      </c>
      <c r="K517" s="5">
        <f t="shared" si="34"/>
        <v>4</v>
      </c>
      <c r="L517" s="5">
        <f t="shared" si="35"/>
        <v>3</v>
      </c>
      <c r="M517" s="5" t="str">
        <f t="shared" si="32"/>
        <v/>
      </c>
      <c r="N517" s="5" t="s">
        <v>2034</v>
      </c>
      <c r="O517" s="5" t="s">
        <v>2035</v>
      </c>
      <c r="P517" s="5" t="s">
        <v>3604</v>
      </c>
      <c r="Q517" s="5" t="s">
        <v>2037</v>
      </c>
    </row>
    <row r="518" spans="1:17">
      <c r="A518" s="9">
        <v>46178</v>
      </c>
      <c r="B518" s="5" t="s">
        <v>15</v>
      </c>
      <c r="C518" s="5" t="s">
        <v>16</v>
      </c>
      <c r="D518" s="5" t="s">
        <v>105</v>
      </c>
      <c r="E518" s="5" t="s">
        <v>2705</v>
      </c>
      <c r="F518" s="5">
        <f t="shared" si="33"/>
        <v>39</v>
      </c>
      <c r="G518" s="5" t="s">
        <v>107</v>
      </c>
      <c r="H518" s="5" t="s">
        <v>20</v>
      </c>
      <c r="I518" s="5" t="s">
        <v>21</v>
      </c>
      <c r="J518" s="5" t="s">
        <v>21</v>
      </c>
      <c r="K518" s="5">
        <f t="shared" si="34"/>
        <v>3</v>
      </c>
      <c r="L518" s="5">
        <f t="shared" si="35"/>
        <v>3</v>
      </c>
      <c r="M518" s="5" t="str">
        <f t="shared" si="32"/>
        <v/>
      </c>
      <c r="N518" s="5" t="s">
        <v>3605</v>
      </c>
      <c r="O518" s="5" t="s">
        <v>2040</v>
      </c>
      <c r="P518" s="5" t="s">
        <v>3606</v>
      </c>
      <c r="Q518" s="5" t="s">
        <v>3607</v>
      </c>
    </row>
    <row r="519" spans="1:17">
      <c r="A519" s="9">
        <v>46178</v>
      </c>
      <c r="B519" s="5" t="s">
        <v>15</v>
      </c>
      <c r="C519" s="5" t="s">
        <v>33</v>
      </c>
      <c r="D519" s="5" t="s">
        <v>34</v>
      </c>
      <c r="E519" s="5" t="s">
        <v>2706</v>
      </c>
      <c r="F519" s="5">
        <f t="shared" si="33"/>
        <v>31</v>
      </c>
      <c r="G519" s="5" t="s">
        <v>19</v>
      </c>
      <c r="H519" s="5" t="s">
        <v>45</v>
      </c>
      <c r="I519" s="5" t="s">
        <v>21</v>
      </c>
      <c r="J519" s="5" t="s">
        <v>21</v>
      </c>
      <c r="K519" s="5">
        <f t="shared" si="34"/>
        <v>3</v>
      </c>
      <c r="L519" s="5">
        <f t="shared" si="35"/>
        <v>3</v>
      </c>
      <c r="M519" s="5" t="str">
        <f t="shared" si="32"/>
        <v/>
      </c>
      <c r="N519" s="5" t="s">
        <v>2044</v>
      </c>
      <c r="O519" s="5" t="s">
        <v>2045</v>
      </c>
      <c r="P519" s="5" t="s">
        <v>2046</v>
      </c>
      <c r="Q519" s="5"/>
    </row>
    <row r="520" spans="1:17">
      <c r="A520" s="9">
        <v>46178</v>
      </c>
      <c r="B520" s="5" t="s">
        <v>3405</v>
      </c>
      <c r="C520" s="5" t="s">
        <v>3406</v>
      </c>
      <c r="D520" s="5" t="s">
        <v>3405</v>
      </c>
      <c r="E520" s="5" t="s">
        <v>2707</v>
      </c>
      <c r="F520" s="5">
        <f t="shared" si="33"/>
        <v>28</v>
      </c>
      <c r="G520" s="5" t="s">
        <v>1034</v>
      </c>
      <c r="H520" s="5" t="s">
        <v>45</v>
      </c>
      <c r="I520" s="5" t="s">
        <v>28</v>
      </c>
      <c r="J520" s="5" t="s">
        <v>28</v>
      </c>
      <c r="K520" s="5">
        <f t="shared" si="34"/>
        <v>4</v>
      </c>
      <c r="L520" s="5">
        <f t="shared" si="35"/>
        <v>4</v>
      </c>
      <c r="M520" s="5" t="str">
        <f t="shared" si="32"/>
        <v/>
      </c>
      <c r="N520" s="5" t="s">
        <v>2048</v>
      </c>
      <c r="O520" s="5" t="s">
        <v>3317</v>
      </c>
      <c r="P520" s="5" t="s">
        <v>3318</v>
      </c>
      <c r="Q520" s="5"/>
    </row>
    <row r="521" spans="1:17">
      <c r="A521" s="9">
        <v>46178</v>
      </c>
      <c r="B521" s="5" t="s">
        <v>72</v>
      </c>
      <c r="C521" s="5" t="s">
        <v>3384</v>
      </c>
      <c r="D521" s="5" t="s">
        <v>72</v>
      </c>
      <c r="E521" s="5" t="s">
        <v>2708</v>
      </c>
      <c r="F521" s="5">
        <f t="shared" si="33"/>
        <v>25</v>
      </c>
      <c r="G521" s="5" t="s">
        <v>19</v>
      </c>
      <c r="H521" s="5" t="s">
        <v>45</v>
      </c>
      <c r="I521" s="5" t="s">
        <v>21</v>
      </c>
      <c r="J521" s="5" t="s">
        <v>21</v>
      </c>
      <c r="K521" s="5">
        <f t="shared" si="34"/>
        <v>3</v>
      </c>
      <c r="L521" s="5">
        <f t="shared" si="35"/>
        <v>3</v>
      </c>
      <c r="M521" s="5" t="str">
        <f t="shared" si="32"/>
        <v/>
      </c>
      <c r="N521" s="5" t="s">
        <v>2052</v>
      </c>
      <c r="O521" s="5" t="s">
        <v>2053</v>
      </c>
      <c r="P521" s="5" t="s">
        <v>2054</v>
      </c>
      <c r="Q521" s="5"/>
    </row>
    <row r="522" spans="1:17">
      <c r="A522" s="9">
        <v>46178</v>
      </c>
      <c r="B522" s="5" t="s">
        <v>3405</v>
      </c>
      <c r="C522" s="5" t="s">
        <v>3406</v>
      </c>
      <c r="D522" s="5" t="s">
        <v>3405</v>
      </c>
      <c r="E522" s="5" t="s">
        <v>2703</v>
      </c>
      <c r="F522" s="5">
        <f t="shared" si="33"/>
        <v>24</v>
      </c>
      <c r="G522" s="5" t="s">
        <v>1034</v>
      </c>
      <c r="H522" s="5" t="s">
        <v>45</v>
      </c>
      <c r="I522" s="5" t="s">
        <v>21</v>
      </c>
      <c r="J522" s="5" t="s">
        <v>21</v>
      </c>
      <c r="K522" s="5">
        <f t="shared" si="34"/>
        <v>3</v>
      </c>
      <c r="L522" s="5">
        <f t="shared" si="35"/>
        <v>3</v>
      </c>
      <c r="M522" s="5" t="str">
        <f t="shared" si="32"/>
        <v/>
      </c>
      <c r="N522" s="5" t="s">
        <v>69</v>
      </c>
      <c r="O522" s="5" t="s">
        <v>2055</v>
      </c>
      <c r="P522" s="5" t="s">
        <v>2056</v>
      </c>
      <c r="Q522" s="5" t="s">
        <v>2057</v>
      </c>
    </row>
    <row r="523" spans="1:17">
      <c r="A523" s="9">
        <v>46178</v>
      </c>
      <c r="B523" s="5" t="s">
        <v>15</v>
      </c>
      <c r="C523" s="5" t="s">
        <v>33</v>
      </c>
      <c r="D523" s="5" t="s">
        <v>34</v>
      </c>
      <c r="E523" s="5" t="s">
        <v>2709</v>
      </c>
      <c r="F523" s="5">
        <f t="shared" si="33"/>
        <v>33</v>
      </c>
      <c r="G523" s="5" t="s">
        <v>19</v>
      </c>
      <c r="H523" s="5" t="s">
        <v>20</v>
      </c>
      <c r="I523" s="5" t="s">
        <v>21</v>
      </c>
      <c r="J523" s="5" t="s">
        <v>21</v>
      </c>
      <c r="K523" s="5">
        <f t="shared" si="34"/>
        <v>3</v>
      </c>
      <c r="L523" s="5">
        <f t="shared" si="35"/>
        <v>3</v>
      </c>
      <c r="M523" s="5" t="str">
        <f t="shared" si="32"/>
        <v/>
      </c>
      <c r="N523" s="5" t="s">
        <v>3319</v>
      </c>
      <c r="O523" s="5" t="s">
        <v>2060</v>
      </c>
      <c r="P523" s="5" t="s">
        <v>2061</v>
      </c>
      <c r="Q523" s="5"/>
    </row>
    <row r="524" spans="1:17">
      <c r="A524" s="9">
        <v>46178</v>
      </c>
      <c r="B524" s="5" t="s">
        <v>3405</v>
      </c>
      <c r="C524" s="5" t="s">
        <v>3406</v>
      </c>
      <c r="D524" s="5" t="s">
        <v>3405</v>
      </c>
      <c r="E524" s="5" t="s">
        <v>2707</v>
      </c>
      <c r="F524" s="5">
        <f t="shared" si="33"/>
        <v>28</v>
      </c>
      <c r="G524" s="5" t="s">
        <v>1034</v>
      </c>
      <c r="H524" s="5" t="s">
        <v>20</v>
      </c>
      <c r="I524" s="5" t="s">
        <v>21</v>
      </c>
      <c r="J524" s="5" t="s">
        <v>21</v>
      </c>
      <c r="K524" s="5">
        <f t="shared" si="34"/>
        <v>3</v>
      </c>
      <c r="L524" s="5">
        <f t="shared" si="35"/>
        <v>3</v>
      </c>
      <c r="M524" s="5" t="str">
        <f t="shared" si="32"/>
        <v/>
      </c>
      <c r="N524" s="5" t="s">
        <v>2062</v>
      </c>
      <c r="O524" s="5" t="s">
        <v>2063</v>
      </c>
      <c r="P524" s="5" t="s">
        <v>2064</v>
      </c>
      <c r="Q524" s="5" t="s">
        <v>2065</v>
      </c>
    </row>
    <row r="525" spans="1:17">
      <c r="A525" s="9">
        <v>46178</v>
      </c>
      <c r="B525" s="5" t="s">
        <v>15</v>
      </c>
      <c r="C525" s="5" t="s">
        <v>33</v>
      </c>
      <c r="D525" s="5" t="s">
        <v>34</v>
      </c>
      <c r="E525" s="5" t="s">
        <v>2710</v>
      </c>
      <c r="F525" s="5">
        <f t="shared" si="33"/>
        <v>33</v>
      </c>
      <c r="G525" s="5" t="s">
        <v>19</v>
      </c>
      <c r="H525" s="5" t="s">
        <v>20</v>
      </c>
      <c r="I525" s="5" t="s">
        <v>21</v>
      </c>
      <c r="J525" s="5" t="s">
        <v>21</v>
      </c>
      <c r="K525" s="5">
        <f t="shared" si="34"/>
        <v>3</v>
      </c>
      <c r="L525" s="5">
        <f t="shared" si="35"/>
        <v>3</v>
      </c>
      <c r="M525" s="5" t="str">
        <f t="shared" si="32"/>
        <v/>
      </c>
      <c r="N525" s="5" t="s">
        <v>769</v>
      </c>
      <c r="O525" s="5" t="s">
        <v>2067</v>
      </c>
      <c r="P525" s="5" t="s">
        <v>2068</v>
      </c>
      <c r="Q525" s="5"/>
    </row>
    <row r="526" spans="1:17">
      <c r="A526" s="9">
        <v>46178</v>
      </c>
      <c r="B526" s="5" t="s">
        <v>49</v>
      </c>
      <c r="C526" s="5" t="s">
        <v>50</v>
      </c>
      <c r="D526" s="5" t="s">
        <v>3381</v>
      </c>
      <c r="E526" s="5" t="s">
        <v>2711</v>
      </c>
      <c r="F526" s="5">
        <f t="shared" si="33"/>
        <v>25</v>
      </c>
      <c r="G526" s="5" t="s">
        <v>19</v>
      </c>
      <c r="H526" s="5" t="s">
        <v>20</v>
      </c>
      <c r="I526" s="5" t="s">
        <v>21</v>
      </c>
      <c r="J526" s="5" t="s">
        <v>21</v>
      </c>
      <c r="K526" s="5">
        <f t="shared" si="34"/>
        <v>3</v>
      </c>
      <c r="L526" s="5">
        <f t="shared" si="35"/>
        <v>3</v>
      </c>
      <c r="M526" s="5" t="str">
        <f t="shared" si="32"/>
        <v/>
      </c>
      <c r="N526" s="5" t="s">
        <v>3320</v>
      </c>
      <c r="O526" s="5" t="s">
        <v>3421</v>
      </c>
      <c r="P526" s="5" t="s">
        <v>3422</v>
      </c>
      <c r="Q526" s="5"/>
    </row>
    <row r="527" spans="1:17">
      <c r="A527" s="9">
        <v>46178</v>
      </c>
      <c r="B527" s="5" t="s">
        <v>15</v>
      </c>
      <c r="C527" s="5" t="s">
        <v>33</v>
      </c>
      <c r="D527" s="5" t="s">
        <v>34</v>
      </c>
      <c r="E527" s="5" t="s">
        <v>2712</v>
      </c>
      <c r="F527" s="5">
        <f t="shared" si="33"/>
        <v>32</v>
      </c>
      <c r="G527" s="5" t="s">
        <v>19</v>
      </c>
      <c r="H527" s="5" t="s">
        <v>20</v>
      </c>
      <c r="I527" s="5" t="s">
        <v>21</v>
      </c>
      <c r="J527" s="5" t="s">
        <v>21</v>
      </c>
      <c r="K527" s="5">
        <f t="shared" si="34"/>
        <v>3</v>
      </c>
      <c r="L527" s="5">
        <f t="shared" si="35"/>
        <v>3</v>
      </c>
      <c r="M527" s="5" t="str">
        <f t="shared" si="32"/>
        <v/>
      </c>
      <c r="N527" s="5" t="s">
        <v>3608</v>
      </c>
      <c r="O527" s="5" t="s">
        <v>2075</v>
      </c>
      <c r="P527" s="5" t="s">
        <v>3245</v>
      </c>
      <c r="Q527" s="5"/>
    </row>
    <row r="528" spans="1:17">
      <c r="A528" s="9">
        <v>46178</v>
      </c>
      <c r="B528" s="5" t="s">
        <v>72</v>
      </c>
      <c r="C528" s="5" t="s">
        <v>3384</v>
      </c>
      <c r="D528" s="5" t="s">
        <v>72</v>
      </c>
      <c r="E528" s="5" t="s">
        <v>2713</v>
      </c>
      <c r="F528" s="5">
        <f t="shared" si="33"/>
        <v>34</v>
      </c>
      <c r="G528" s="5" t="s">
        <v>19</v>
      </c>
      <c r="H528" s="5" t="s">
        <v>45</v>
      </c>
      <c r="I528" s="5" t="s">
        <v>28</v>
      </c>
      <c r="J528" s="5" t="s">
        <v>28</v>
      </c>
      <c r="K528" s="5">
        <f t="shared" si="34"/>
        <v>4</v>
      </c>
      <c r="L528" s="5">
        <f t="shared" si="35"/>
        <v>4</v>
      </c>
      <c r="M528" s="5" t="str">
        <f t="shared" si="32"/>
        <v/>
      </c>
      <c r="N528" s="5" t="s">
        <v>2078</v>
      </c>
      <c r="O528" s="5" t="s">
        <v>2079</v>
      </c>
      <c r="P528" s="5" t="s">
        <v>2080</v>
      </c>
      <c r="Q528" s="5"/>
    </row>
    <row r="529" spans="1:17">
      <c r="A529" s="9">
        <v>46178</v>
      </c>
      <c r="B529" s="5" t="s">
        <v>3405</v>
      </c>
      <c r="C529" s="5" t="s">
        <v>3406</v>
      </c>
      <c r="D529" s="5" t="s">
        <v>3405</v>
      </c>
      <c r="E529" s="5" t="s">
        <v>2707</v>
      </c>
      <c r="F529" s="5">
        <f t="shared" si="33"/>
        <v>28</v>
      </c>
      <c r="G529" s="5" t="s">
        <v>1034</v>
      </c>
      <c r="H529" s="5" t="s">
        <v>45</v>
      </c>
      <c r="I529" s="5" t="s">
        <v>21</v>
      </c>
      <c r="J529" s="5" t="s">
        <v>21</v>
      </c>
      <c r="K529" s="5">
        <f t="shared" si="34"/>
        <v>3</v>
      </c>
      <c r="L529" s="5">
        <f t="shared" si="35"/>
        <v>3</v>
      </c>
      <c r="M529" s="5" t="str">
        <f t="shared" si="32"/>
        <v/>
      </c>
      <c r="N529" s="5" t="s">
        <v>2081</v>
      </c>
      <c r="O529" s="5" t="s">
        <v>3321</v>
      </c>
      <c r="P529" s="5" t="s">
        <v>2083</v>
      </c>
      <c r="Q529" s="5"/>
    </row>
    <row r="530" spans="1:17">
      <c r="A530" s="9">
        <v>46178</v>
      </c>
      <c r="B530" s="5" t="s">
        <v>72</v>
      </c>
      <c r="C530" s="5" t="s">
        <v>3384</v>
      </c>
      <c r="D530" s="5" t="s">
        <v>72</v>
      </c>
      <c r="E530" s="5" t="s">
        <v>2713</v>
      </c>
      <c r="F530" s="5">
        <f t="shared" si="33"/>
        <v>34</v>
      </c>
      <c r="G530" s="5" t="s">
        <v>19</v>
      </c>
      <c r="H530" s="5" t="s">
        <v>45</v>
      </c>
      <c r="I530" s="5" t="s">
        <v>28</v>
      </c>
      <c r="J530" s="5" t="s">
        <v>28</v>
      </c>
      <c r="K530" s="5">
        <f t="shared" si="34"/>
        <v>4</v>
      </c>
      <c r="L530" s="5">
        <f t="shared" si="35"/>
        <v>4</v>
      </c>
      <c r="M530" s="5" t="str">
        <f t="shared" si="32"/>
        <v/>
      </c>
      <c r="N530" s="5" t="s">
        <v>2078</v>
      </c>
      <c r="O530" s="5" t="s">
        <v>2814</v>
      </c>
      <c r="P530" s="5" t="s">
        <v>2085</v>
      </c>
      <c r="Q530" s="5"/>
    </row>
    <row r="531" spans="1:17">
      <c r="A531" s="9">
        <v>46178</v>
      </c>
      <c r="B531" s="5" t="s">
        <v>3405</v>
      </c>
      <c r="C531" s="5" t="s">
        <v>3406</v>
      </c>
      <c r="D531" s="5" t="s">
        <v>3405</v>
      </c>
      <c r="E531" s="5" t="s">
        <v>2703</v>
      </c>
      <c r="F531" s="5">
        <f t="shared" si="33"/>
        <v>24</v>
      </c>
      <c r="G531" s="5" t="s">
        <v>1034</v>
      </c>
      <c r="H531" s="5" t="s">
        <v>20</v>
      </c>
      <c r="I531" s="5" t="s">
        <v>28</v>
      </c>
      <c r="J531" s="5" t="s">
        <v>21</v>
      </c>
      <c r="K531" s="5">
        <f t="shared" si="34"/>
        <v>4</v>
      </c>
      <c r="L531" s="5">
        <f t="shared" si="35"/>
        <v>3</v>
      </c>
      <c r="M531" s="5" t="str">
        <f t="shared" si="32"/>
        <v/>
      </c>
      <c r="N531" s="5" t="s">
        <v>2086</v>
      </c>
      <c r="O531" s="5" t="s">
        <v>2025</v>
      </c>
      <c r="P531" s="5" t="s">
        <v>2087</v>
      </c>
      <c r="Q531" s="5" t="s">
        <v>3322</v>
      </c>
    </row>
    <row r="532" spans="1:17">
      <c r="A532" s="9">
        <v>46178</v>
      </c>
      <c r="B532" s="5" t="s">
        <v>1030</v>
      </c>
      <c r="C532" s="5" t="s">
        <v>3408</v>
      </c>
      <c r="D532" s="5" t="s">
        <v>1032</v>
      </c>
      <c r="E532" s="5" t="s">
        <v>2714</v>
      </c>
      <c r="F532" s="5">
        <f t="shared" si="33"/>
        <v>21</v>
      </c>
      <c r="G532" s="5" t="s">
        <v>1034</v>
      </c>
      <c r="H532" s="5" t="s">
        <v>20</v>
      </c>
      <c r="I532" s="5" t="s">
        <v>21</v>
      </c>
      <c r="J532" s="5" t="s">
        <v>21</v>
      </c>
      <c r="K532" s="5">
        <f t="shared" si="34"/>
        <v>3</v>
      </c>
      <c r="L532" s="5">
        <f t="shared" si="35"/>
        <v>3</v>
      </c>
      <c r="M532" s="5" t="str">
        <f t="shared" si="32"/>
        <v/>
      </c>
      <c r="N532" s="5" t="s">
        <v>2090</v>
      </c>
      <c r="O532" s="5" t="s">
        <v>2091</v>
      </c>
      <c r="P532" s="5" t="s">
        <v>2092</v>
      </c>
      <c r="Q532" s="5"/>
    </row>
    <row r="533" spans="1:17">
      <c r="A533" s="9">
        <v>46178</v>
      </c>
      <c r="B533" s="5" t="s">
        <v>3405</v>
      </c>
      <c r="C533" s="5" t="s">
        <v>3406</v>
      </c>
      <c r="D533" s="5" t="s">
        <v>3405</v>
      </c>
      <c r="E533" s="5" t="s">
        <v>2704</v>
      </c>
      <c r="F533" s="5">
        <f t="shared" si="33"/>
        <v>25</v>
      </c>
      <c r="G533" s="5" t="s">
        <v>1034</v>
      </c>
      <c r="H533" s="5" t="s">
        <v>20</v>
      </c>
      <c r="I533" s="5" t="s">
        <v>21</v>
      </c>
      <c r="J533" s="5" t="s">
        <v>21</v>
      </c>
      <c r="K533" s="5">
        <f t="shared" si="34"/>
        <v>3</v>
      </c>
      <c r="L533" s="5">
        <f t="shared" si="35"/>
        <v>3</v>
      </c>
      <c r="M533" s="5" t="str">
        <f t="shared" si="32"/>
        <v/>
      </c>
      <c r="N533" s="5" t="s">
        <v>2093</v>
      </c>
      <c r="O533" s="5" t="s">
        <v>2094</v>
      </c>
      <c r="P533" s="5" t="s">
        <v>2095</v>
      </c>
      <c r="Q533" s="5" t="s">
        <v>2096</v>
      </c>
    </row>
    <row r="534" spans="1:17">
      <c r="A534" s="9">
        <v>46178</v>
      </c>
      <c r="B534" s="5" t="s">
        <v>72</v>
      </c>
      <c r="C534" s="5" t="s">
        <v>3384</v>
      </c>
      <c r="D534" s="5" t="s">
        <v>72</v>
      </c>
      <c r="E534" s="5" t="s">
        <v>2715</v>
      </c>
      <c r="F534" s="5">
        <f t="shared" si="33"/>
        <v>13</v>
      </c>
      <c r="G534" s="5" t="s">
        <v>19</v>
      </c>
      <c r="H534" s="5" t="s">
        <v>45</v>
      </c>
      <c r="I534" s="5" t="s">
        <v>28</v>
      </c>
      <c r="J534" s="5" t="s">
        <v>28</v>
      </c>
      <c r="K534" s="5">
        <f t="shared" si="34"/>
        <v>4</v>
      </c>
      <c r="L534" s="5">
        <f t="shared" si="35"/>
        <v>4</v>
      </c>
      <c r="M534" s="5" t="str">
        <f t="shared" si="32"/>
        <v/>
      </c>
      <c r="N534" s="5" t="s">
        <v>3323</v>
      </c>
      <c r="O534" s="5"/>
      <c r="P534" s="5"/>
      <c r="Q534" s="5"/>
    </row>
    <row r="535" spans="1:17">
      <c r="A535" s="9">
        <v>46178</v>
      </c>
      <c r="B535" s="5" t="s">
        <v>3405</v>
      </c>
      <c r="C535" s="5" t="s">
        <v>3406</v>
      </c>
      <c r="D535" s="5" t="s">
        <v>3405</v>
      </c>
      <c r="E535" s="5" t="s">
        <v>3324</v>
      </c>
      <c r="F535" s="5">
        <f t="shared" si="33"/>
        <v>26</v>
      </c>
      <c r="G535" s="5" t="s">
        <v>981</v>
      </c>
      <c r="H535" s="5" t="s">
        <v>45</v>
      </c>
      <c r="I535" s="5" t="s">
        <v>21</v>
      </c>
      <c r="J535" s="5" t="s">
        <v>21</v>
      </c>
      <c r="K535" s="5">
        <f t="shared" si="34"/>
        <v>3</v>
      </c>
      <c r="L535" s="5">
        <f t="shared" si="35"/>
        <v>3</v>
      </c>
      <c r="M535" s="5" t="str">
        <f t="shared" si="32"/>
        <v/>
      </c>
      <c r="N535" s="5" t="s">
        <v>2100</v>
      </c>
      <c r="O535" s="5" t="s">
        <v>2101</v>
      </c>
      <c r="P535" s="5" t="s">
        <v>2102</v>
      </c>
      <c r="Q535" s="5" t="s">
        <v>2103</v>
      </c>
    </row>
    <row r="536" spans="1:17">
      <c r="A536" s="9">
        <v>46178</v>
      </c>
      <c r="B536" s="5" t="s">
        <v>3405</v>
      </c>
      <c r="C536" s="5" t="s">
        <v>3406</v>
      </c>
      <c r="D536" s="5" t="s">
        <v>3405</v>
      </c>
      <c r="E536" s="5" t="s">
        <v>3423</v>
      </c>
      <c r="F536" s="5">
        <f t="shared" si="33"/>
        <v>35</v>
      </c>
      <c r="G536" s="5" t="s">
        <v>981</v>
      </c>
      <c r="H536" s="5" t="s">
        <v>20</v>
      </c>
      <c r="I536" s="5" t="s">
        <v>28</v>
      </c>
      <c r="J536" s="5" t="s">
        <v>28</v>
      </c>
      <c r="K536" s="5">
        <f t="shared" si="34"/>
        <v>4</v>
      </c>
      <c r="L536" s="5">
        <f t="shared" si="35"/>
        <v>4</v>
      </c>
      <c r="M536" s="5" t="str">
        <f t="shared" si="32"/>
        <v/>
      </c>
      <c r="N536" s="5" t="s">
        <v>3325</v>
      </c>
      <c r="O536" s="5" t="s">
        <v>2106</v>
      </c>
      <c r="P536" s="5" t="s">
        <v>2107</v>
      </c>
      <c r="Q536" s="5" t="s">
        <v>2108</v>
      </c>
    </row>
    <row r="537" spans="1:17">
      <c r="A537" s="9">
        <v>46178</v>
      </c>
      <c r="B537" s="5" t="s">
        <v>15</v>
      </c>
      <c r="C537" s="5" t="s">
        <v>16</v>
      </c>
      <c r="D537" s="5" t="s">
        <v>105</v>
      </c>
      <c r="E537" s="5" t="s">
        <v>2716</v>
      </c>
      <c r="F537" s="5">
        <f t="shared" si="33"/>
        <v>25</v>
      </c>
      <c r="G537" s="5" t="s">
        <v>19</v>
      </c>
      <c r="H537" s="5" t="s">
        <v>20</v>
      </c>
      <c r="I537" s="5" t="s">
        <v>21</v>
      </c>
      <c r="J537" s="5" t="s">
        <v>21</v>
      </c>
      <c r="K537" s="5">
        <f t="shared" si="34"/>
        <v>3</v>
      </c>
      <c r="L537" s="5">
        <f t="shared" si="35"/>
        <v>3</v>
      </c>
      <c r="M537" s="5" t="str">
        <f t="shared" si="32"/>
        <v/>
      </c>
      <c r="N537" s="5" t="s">
        <v>2110</v>
      </c>
      <c r="O537" s="5"/>
      <c r="P537" s="5"/>
      <c r="Q537" s="5" t="s">
        <v>100</v>
      </c>
    </row>
    <row r="538" spans="1:17">
      <c r="A538" s="9">
        <v>46178</v>
      </c>
      <c r="B538" s="5" t="s">
        <v>15</v>
      </c>
      <c r="C538" s="5" t="s">
        <v>33</v>
      </c>
      <c r="D538" s="5" t="s">
        <v>34</v>
      </c>
      <c r="E538" s="5" t="s">
        <v>2712</v>
      </c>
      <c r="F538" s="5">
        <f t="shared" si="33"/>
        <v>32</v>
      </c>
      <c r="G538" s="5" t="s">
        <v>19</v>
      </c>
      <c r="H538" s="5" t="s">
        <v>20</v>
      </c>
      <c r="I538" s="5" t="s">
        <v>21</v>
      </c>
      <c r="J538" s="5" t="s">
        <v>21</v>
      </c>
      <c r="K538" s="5">
        <f t="shared" si="34"/>
        <v>3</v>
      </c>
      <c r="L538" s="5">
        <f t="shared" si="35"/>
        <v>3</v>
      </c>
      <c r="M538" s="5" t="str">
        <f t="shared" si="32"/>
        <v/>
      </c>
      <c r="N538" s="5" t="s">
        <v>3609</v>
      </c>
      <c r="O538" s="5" t="s">
        <v>2102</v>
      </c>
      <c r="P538" s="5" t="s">
        <v>1253</v>
      </c>
      <c r="Q538" s="5"/>
    </row>
    <row r="539" spans="1:17">
      <c r="A539" s="9">
        <v>46178</v>
      </c>
      <c r="B539" s="5" t="s">
        <v>15</v>
      </c>
      <c r="C539" s="5" t="s">
        <v>16</v>
      </c>
      <c r="D539" s="5" t="s">
        <v>177</v>
      </c>
      <c r="E539" s="5" t="s">
        <v>3326</v>
      </c>
      <c r="F539" s="5">
        <f t="shared" si="33"/>
        <v>30</v>
      </c>
      <c r="G539" s="5" t="s">
        <v>107</v>
      </c>
      <c r="H539" s="5" t="s">
        <v>20</v>
      </c>
      <c r="I539" s="5" t="s">
        <v>21</v>
      </c>
      <c r="J539" s="5" t="s">
        <v>21</v>
      </c>
      <c r="K539" s="5">
        <f t="shared" si="34"/>
        <v>3</v>
      </c>
      <c r="L539" s="5">
        <f t="shared" si="35"/>
        <v>3</v>
      </c>
      <c r="M539" s="5" t="str">
        <f t="shared" si="32"/>
        <v/>
      </c>
      <c r="N539" s="5" t="s">
        <v>2115</v>
      </c>
      <c r="O539" s="5" t="s">
        <v>3610</v>
      </c>
      <c r="P539" s="5" t="s">
        <v>2117</v>
      </c>
      <c r="Q539" s="5"/>
    </row>
    <row r="540" spans="1:17">
      <c r="A540" s="9">
        <v>46178</v>
      </c>
      <c r="B540" s="5" t="s">
        <v>3405</v>
      </c>
      <c r="C540" s="5" t="s">
        <v>3406</v>
      </c>
      <c r="D540" s="5" t="s">
        <v>3405</v>
      </c>
      <c r="E540" s="5" t="s">
        <v>2717</v>
      </c>
      <c r="F540" s="5">
        <f t="shared" si="33"/>
        <v>31</v>
      </c>
      <c r="G540" s="5" t="s">
        <v>981</v>
      </c>
      <c r="H540" s="5" t="s">
        <v>45</v>
      </c>
      <c r="I540" s="5" t="s">
        <v>21</v>
      </c>
      <c r="J540" s="5" t="s">
        <v>21</v>
      </c>
      <c r="K540" s="5">
        <f t="shared" si="34"/>
        <v>3</v>
      </c>
      <c r="L540" s="5">
        <f t="shared" si="35"/>
        <v>3</v>
      </c>
      <c r="M540" s="5" t="str">
        <f t="shared" si="32"/>
        <v/>
      </c>
      <c r="N540" s="5" t="s">
        <v>3327</v>
      </c>
      <c r="O540" s="5" t="s">
        <v>2120</v>
      </c>
      <c r="P540" s="5" t="s">
        <v>2121</v>
      </c>
      <c r="Q540" s="5" t="s">
        <v>2122</v>
      </c>
    </row>
    <row r="541" spans="1:17">
      <c r="A541" s="9">
        <v>46178</v>
      </c>
      <c r="B541" s="5" t="s">
        <v>15</v>
      </c>
      <c r="C541" s="5" t="s">
        <v>16</v>
      </c>
      <c r="D541" s="5" t="s">
        <v>177</v>
      </c>
      <c r="E541" s="5" t="s">
        <v>2718</v>
      </c>
      <c r="F541" s="5">
        <f t="shared" si="33"/>
        <v>31</v>
      </c>
      <c r="G541" s="5" t="s">
        <v>19</v>
      </c>
      <c r="H541" s="5" t="s">
        <v>20</v>
      </c>
      <c r="I541" s="5" t="s">
        <v>28</v>
      </c>
      <c r="J541" s="5" t="s">
        <v>28</v>
      </c>
      <c r="K541" s="5">
        <f t="shared" si="34"/>
        <v>4</v>
      </c>
      <c r="L541" s="5">
        <f t="shared" si="35"/>
        <v>4</v>
      </c>
      <c r="M541" s="5" t="str">
        <f t="shared" si="32"/>
        <v/>
      </c>
      <c r="N541" s="5" t="s">
        <v>175</v>
      </c>
      <c r="O541" s="5"/>
      <c r="P541" s="5"/>
      <c r="Q541" s="5"/>
    </row>
    <row r="542" spans="1:17">
      <c r="A542" s="9">
        <v>46178</v>
      </c>
      <c r="B542" s="5" t="s">
        <v>3405</v>
      </c>
      <c r="C542" s="5" t="s">
        <v>3406</v>
      </c>
      <c r="D542" s="5" t="s">
        <v>3405</v>
      </c>
      <c r="E542" s="5" t="s">
        <v>2719</v>
      </c>
      <c r="F542" s="5">
        <f t="shared" si="33"/>
        <v>34</v>
      </c>
      <c r="G542" s="5" t="s">
        <v>1034</v>
      </c>
      <c r="H542" s="5" t="s">
        <v>20</v>
      </c>
      <c r="I542" s="5" t="s">
        <v>28</v>
      </c>
      <c r="J542" s="5" t="s">
        <v>21</v>
      </c>
      <c r="K542" s="5">
        <f t="shared" si="34"/>
        <v>4</v>
      </c>
      <c r="L542" s="5">
        <f t="shared" si="35"/>
        <v>3</v>
      </c>
      <c r="M542" s="5" t="str">
        <f t="shared" si="32"/>
        <v/>
      </c>
      <c r="N542" s="5" t="s">
        <v>3328</v>
      </c>
      <c r="O542" s="5" t="s">
        <v>3329</v>
      </c>
      <c r="P542" s="5" t="s">
        <v>3330</v>
      </c>
      <c r="Q542" s="5"/>
    </row>
    <row r="543" spans="1:17">
      <c r="A543" s="9">
        <v>46178</v>
      </c>
      <c r="B543" s="5" t="s">
        <v>81</v>
      </c>
      <c r="C543" s="5" t="s">
        <v>50</v>
      </c>
      <c r="D543" s="5" t="s">
        <v>3404</v>
      </c>
      <c r="E543" s="5" t="s">
        <v>2720</v>
      </c>
      <c r="F543" s="5">
        <f t="shared" si="33"/>
        <v>35</v>
      </c>
      <c r="G543" s="5" t="s">
        <v>19</v>
      </c>
      <c r="H543" s="5" t="s">
        <v>20</v>
      </c>
      <c r="I543" s="5" t="s">
        <v>28</v>
      </c>
      <c r="J543" s="5" t="s">
        <v>28</v>
      </c>
      <c r="K543" s="5">
        <f t="shared" si="34"/>
        <v>4</v>
      </c>
      <c r="L543" s="5">
        <f t="shared" si="35"/>
        <v>4</v>
      </c>
      <c r="M543" s="5" t="str">
        <f t="shared" si="32"/>
        <v/>
      </c>
      <c r="N543" s="5" t="s">
        <v>3331</v>
      </c>
      <c r="O543" s="5" t="s">
        <v>3332</v>
      </c>
      <c r="P543" s="5" t="s">
        <v>3333</v>
      </c>
      <c r="Q543" s="5"/>
    </row>
    <row r="544" spans="1:17">
      <c r="A544" s="9">
        <v>46178</v>
      </c>
      <c r="B544" s="5" t="s">
        <v>1030</v>
      </c>
      <c r="C544" s="5" t="s">
        <v>3408</v>
      </c>
      <c r="D544" s="5" t="s">
        <v>1061</v>
      </c>
      <c r="E544" s="5" t="s">
        <v>2721</v>
      </c>
      <c r="F544" s="5">
        <f t="shared" si="33"/>
        <v>25</v>
      </c>
      <c r="G544" s="5" t="s">
        <v>1034</v>
      </c>
      <c r="H544" s="5" t="s">
        <v>20</v>
      </c>
      <c r="I544" s="5" t="s">
        <v>28</v>
      </c>
      <c r="J544" s="5" t="s">
        <v>28</v>
      </c>
      <c r="K544" s="5">
        <f t="shared" si="34"/>
        <v>4</v>
      </c>
      <c r="L544" s="5">
        <f t="shared" si="35"/>
        <v>4</v>
      </c>
      <c r="M544" s="5" t="str">
        <f t="shared" si="32"/>
        <v/>
      </c>
      <c r="N544" s="5" t="s">
        <v>2133</v>
      </c>
      <c r="O544" s="5" t="s">
        <v>2134</v>
      </c>
      <c r="P544" s="5"/>
      <c r="Q544" s="5" t="s">
        <v>2135</v>
      </c>
    </row>
    <row r="545" spans="1:17">
      <c r="A545" s="9">
        <v>46178</v>
      </c>
      <c r="B545" s="5" t="s">
        <v>3405</v>
      </c>
      <c r="C545" s="5" t="s">
        <v>3406</v>
      </c>
      <c r="D545" s="5" t="s">
        <v>3405</v>
      </c>
      <c r="E545" s="5" t="s">
        <v>2722</v>
      </c>
      <c r="F545" s="5">
        <f t="shared" si="33"/>
        <v>18</v>
      </c>
      <c r="G545" s="5" t="s">
        <v>1034</v>
      </c>
      <c r="H545" s="5" t="s">
        <v>45</v>
      </c>
      <c r="I545" s="5" t="s">
        <v>21</v>
      </c>
      <c r="J545" s="5" t="s">
        <v>21</v>
      </c>
      <c r="K545" s="5">
        <f t="shared" si="34"/>
        <v>3</v>
      </c>
      <c r="L545" s="5">
        <f t="shared" si="35"/>
        <v>3</v>
      </c>
      <c r="M545" s="5" t="str">
        <f t="shared" si="32"/>
        <v/>
      </c>
      <c r="N545" s="5" t="s">
        <v>2137</v>
      </c>
      <c r="O545" s="5" t="s">
        <v>3334</v>
      </c>
      <c r="P545" s="5" t="s">
        <v>2139</v>
      </c>
      <c r="Q545" s="5" t="s">
        <v>3335</v>
      </c>
    </row>
    <row r="546" spans="1:17">
      <c r="A546" s="9">
        <v>46178</v>
      </c>
      <c r="B546" s="5" t="s">
        <v>2141</v>
      </c>
      <c r="C546" s="5" t="s">
        <v>3635</v>
      </c>
      <c r="D546" s="4"/>
      <c r="E546" s="5" t="s">
        <v>2723</v>
      </c>
      <c r="F546" s="5">
        <f t="shared" si="33"/>
        <v>29</v>
      </c>
      <c r="G546" s="5" t="s">
        <v>981</v>
      </c>
      <c r="H546" s="5" t="s">
        <v>45</v>
      </c>
      <c r="I546" s="5" t="s">
        <v>28</v>
      </c>
      <c r="J546" s="5" t="s">
        <v>21</v>
      </c>
      <c r="K546" s="5">
        <f t="shared" si="34"/>
        <v>4</v>
      </c>
      <c r="L546" s="5">
        <f t="shared" si="35"/>
        <v>3</v>
      </c>
      <c r="M546" s="5" t="str">
        <f t="shared" si="32"/>
        <v/>
      </c>
      <c r="N546" s="5" t="s">
        <v>2144</v>
      </c>
      <c r="O546" s="5" t="s">
        <v>2145</v>
      </c>
      <c r="P546" s="5" t="s">
        <v>55</v>
      </c>
      <c r="Q546" s="5" t="s">
        <v>2146</v>
      </c>
    </row>
    <row r="547" spans="1:17">
      <c r="A547" s="9">
        <v>46178</v>
      </c>
      <c r="B547" s="5" t="s">
        <v>2141</v>
      </c>
      <c r="C547" s="5" t="s">
        <v>3635</v>
      </c>
      <c r="D547" s="4" t="s">
        <v>2141</v>
      </c>
      <c r="E547" s="5" t="s">
        <v>2724</v>
      </c>
      <c r="F547" s="5">
        <f t="shared" si="33"/>
        <v>22</v>
      </c>
      <c r="G547" s="5" t="s">
        <v>981</v>
      </c>
      <c r="H547" s="5" t="s">
        <v>20</v>
      </c>
      <c r="I547" s="5" t="s">
        <v>21</v>
      </c>
      <c r="J547" s="5" t="s">
        <v>21</v>
      </c>
      <c r="K547" s="5">
        <f t="shared" si="34"/>
        <v>3</v>
      </c>
      <c r="L547" s="5">
        <f t="shared" si="35"/>
        <v>3</v>
      </c>
      <c r="M547" s="5" t="str">
        <f t="shared" si="32"/>
        <v/>
      </c>
      <c r="N547" s="5" t="s">
        <v>2148</v>
      </c>
      <c r="O547" s="5" t="s">
        <v>2149</v>
      </c>
      <c r="P547" s="5" t="s">
        <v>2150</v>
      </c>
      <c r="Q547" s="5" t="s">
        <v>2151</v>
      </c>
    </row>
    <row r="548" spans="1:17">
      <c r="A548" s="9">
        <v>46178</v>
      </c>
      <c r="B548" s="5" t="s">
        <v>1030</v>
      </c>
      <c r="C548" s="5" t="s">
        <v>3408</v>
      </c>
      <c r="D548" s="5" t="s">
        <v>1061</v>
      </c>
      <c r="E548" s="5" t="s">
        <v>2725</v>
      </c>
      <c r="F548" s="5">
        <f t="shared" si="33"/>
        <v>28</v>
      </c>
      <c r="G548" s="5" t="s">
        <v>981</v>
      </c>
      <c r="H548" s="5" t="s">
        <v>20</v>
      </c>
      <c r="I548" s="5" t="s">
        <v>21</v>
      </c>
      <c r="J548" s="5" t="s">
        <v>21</v>
      </c>
      <c r="K548" s="5">
        <f t="shared" si="34"/>
        <v>3</v>
      </c>
      <c r="L548" s="5">
        <f t="shared" si="35"/>
        <v>3</v>
      </c>
      <c r="M548" s="5" t="str">
        <f t="shared" si="32"/>
        <v/>
      </c>
      <c r="N548" s="5" t="s">
        <v>3336</v>
      </c>
      <c r="O548" s="5" t="s">
        <v>3611</v>
      </c>
      <c r="P548" s="5" t="s">
        <v>2155</v>
      </c>
      <c r="Q548" s="5" t="s">
        <v>2156</v>
      </c>
    </row>
    <row r="549" spans="1:17">
      <c r="A549" s="9">
        <v>46178</v>
      </c>
      <c r="B549" s="5" t="s">
        <v>2141</v>
      </c>
      <c r="C549" s="5" t="s">
        <v>3635</v>
      </c>
      <c r="D549" s="4" t="s">
        <v>2141</v>
      </c>
      <c r="E549" s="5" t="s">
        <v>2723</v>
      </c>
      <c r="F549" s="5">
        <f t="shared" si="33"/>
        <v>29</v>
      </c>
      <c r="G549" s="5" t="s">
        <v>981</v>
      </c>
      <c r="H549" s="5" t="s">
        <v>45</v>
      </c>
      <c r="I549" s="5" t="s">
        <v>21</v>
      </c>
      <c r="J549" s="5" t="s">
        <v>28</v>
      </c>
      <c r="K549" s="5">
        <f t="shared" si="34"/>
        <v>3</v>
      </c>
      <c r="L549" s="5">
        <f t="shared" si="35"/>
        <v>4</v>
      </c>
      <c r="M549" s="5" t="str">
        <f t="shared" si="32"/>
        <v/>
      </c>
      <c r="N549" s="5" t="s">
        <v>2157</v>
      </c>
      <c r="O549" s="5" t="s">
        <v>2158</v>
      </c>
      <c r="P549" s="5" t="s">
        <v>55</v>
      </c>
      <c r="Q549" s="5"/>
    </row>
    <row r="550" spans="1:17">
      <c r="A550" s="9">
        <v>46178</v>
      </c>
      <c r="B550" s="5" t="s">
        <v>25</v>
      </c>
      <c r="C550" s="5" t="s">
        <v>3380</v>
      </c>
      <c r="D550" s="5" t="s">
        <v>25</v>
      </c>
      <c r="E550" s="5" t="s">
        <v>3612</v>
      </c>
      <c r="F550" s="5">
        <f t="shared" si="33"/>
        <v>49</v>
      </c>
      <c r="G550" s="5" t="s">
        <v>19</v>
      </c>
      <c r="H550" s="5" t="s">
        <v>20</v>
      </c>
      <c r="I550" s="5" t="s">
        <v>28</v>
      </c>
      <c r="J550" s="5" t="s">
        <v>28</v>
      </c>
      <c r="K550" s="5">
        <f t="shared" si="34"/>
        <v>4</v>
      </c>
      <c r="L550" s="5">
        <f t="shared" si="35"/>
        <v>4</v>
      </c>
      <c r="M550" s="5" t="str">
        <f t="shared" si="32"/>
        <v/>
      </c>
      <c r="N550" s="5" t="s">
        <v>3337</v>
      </c>
      <c r="O550" s="5" t="s">
        <v>2161</v>
      </c>
      <c r="P550" s="5" t="s">
        <v>2162</v>
      </c>
      <c r="Q550" s="5"/>
    </row>
    <row r="551" spans="1:17">
      <c r="A551" s="9">
        <v>46178</v>
      </c>
      <c r="B551" s="5" t="s">
        <v>1030</v>
      </c>
      <c r="C551" s="5" t="s">
        <v>3408</v>
      </c>
      <c r="D551" s="5" t="s">
        <v>1061</v>
      </c>
      <c r="E551" s="5" t="s">
        <v>2725</v>
      </c>
      <c r="F551" s="5">
        <f t="shared" si="33"/>
        <v>28</v>
      </c>
      <c r="G551" s="5" t="s">
        <v>981</v>
      </c>
      <c r="H551" s="5" t="s">
        <v>20</v>
      </c>
      <c r="I551" s="5" t="s">
        <v>21</v>
      </c>
      <c r="J551" s="5" t="s">
        <v>28</v>
      </c>
      <c r="K551" s="5">
        <f t="shared" si="34"/>
        <v>3</v>
      </c>
      <c r="L551" s="5">
        <f t="shared" si="35"/>
        <v>4</v>
      </c>
      <c r="M551" s="5" t="str">
        <f t="shared" si="32"/>
        <v/>
      </c>
      <c r="N551" s="5" t="s">
        <v>2163</v>
      </c>
      <c r="O551" s="5" t="s">
        <v>2164</v>
      </c>
      <c r="P551" s="5" t="s">
        <v>2165</v>
      </c>
      <c r="Q551" s="5" t="s">
        <v>2166</v>
      </c>
    </row>
    <row r="552" spans="1:17">
      <c r="A552" s="9">
        <v>46178</v>
      </c>
      <c r="B552" s="5" t="s">
        <v>1030</v>
      </c>
      <c r="C552" s="5" t="s">
        <v>3408</v>
      </c>
      <c r="D552" s="5" t="s">
        <v>1061</v>
      </c>
      <c r="E552" s="5" t="s">
        <v>2726</v>
      </c>
      <c r="F552" s="5">
        <f t="shared" si="33"/>
        <v>49</v>
      </c>
      <c r="G552" s="5" t="s">
        <v>1034</v>
      </c>
      <c r="H552" s="5" t="s">
        <v>20</v>
      </c>
      <c r="I552" s="5" t="s">
        <v>28</v>
      </c>
      <c r="J552" s="5" t="s">
        <v>28</v>
      </c>
      <c r="K552" s="5">
        <f t="shared" si="34"/>
        <v>4</v>
      </c>
      <c r="L552" s="5">
        <f t="shared" si="35"/>
        <v>4</v>
      </c>
      <c r="M552" s="5" t="str">
        <f t="shared" si="32"/>
        <v/>
      </c>
      <c r="N552" s="5" t="s">
        <v>2168</v>
      </c>
      <c r="O552" s="5" t="s">
        <v>2169</v>
      </c>
      <c r="P552" s="5" t="s">
        <v>2170</v>
      </c>
      <c r="Q552" s="5"/>
    </row>
    <row r="553" spans="1:17">
      <c r="A553" s="9">
        <v>46178</v>
      </c>
      <c r="B553" s="5" t="s">
        <v>1030</v>
      </c>
      <c r="C553" s="5" t="s">
        <v>3408</v>
      </c>
      <c r="D553" s="5" t="s">
        <v>1061</v>
      </c>
      <c r="E553" s="5" t="s">
        <v>2725</v>
      </c>
      <c r="F553" s="5">
        <f t="shared" si="33"/>
        <v>28</v>
      </c>
      <c r="G553" s="5" t="s">
        <v>981</v>
      </c>
      <c r="H553" s="5" t="s">
        <v>20</v>
      </c>
      <c r="I553" s="5" t="s">
        <v>21</v>
      </c>
      <c r="J553" s="5" t="s">
        <v>28</v>
      </c>
      <c r="K553" s="5">
        <f t="shared" si="34"/>
        <v>3</v>
      </c>
      <c r="L553" s="5">
        <f t="shared" si="35"/>
        <v>4</v>
      </c>
      <c r="M553" s="5" t="str">
        <f t="shared" si="32"/>
        <v/>
      </c>
      <c r="N553" s="5" t="s">
        <v>3338</v>
      </c>
      <c r="O553" s="5" t="s">
        <v>3339</v>
      </c>
      <c r="P553" s="5" t="s">
        <v>2173</v>
      </c>
      <c r="Q553" s="5" t="s">
        <v>2174</v>
      </c>
    </row>
    <row r="554" spans="1:17">
      <c r="A554" s="9">
        <v>46178</v>
      </c>
      <c r="B554" s="5" t="s">
        <v>1030</v>
      </c>
      <c r="C554" s="5" t="s">
        <v>3408</v>
      </c>
      <c r="D554" s="5" t="s">
        <v>1061</v>
      </c>
      <c r="E554" s="5" t="s">
        <v>2725</v>
      </c>
      <c r="F554" s="5">
        <f t="shared" si="33"/>
        <v>28</v>
      </c>
      <c r="G554" s="5" t="s">
        <v>981</v>
      </c>
      <c r="H554" s="5" t="s">
        <v>20</v>
      </c>
      <c r="I554" s="5" t="s">
        <v>28</v>
      </c>
      <c r="J554" s="5" t="s">
        <v>21</v>
      </c>
      <c r="K554" s="5">
        <f t="shared" si="34"/>
        <v>4</v>
      </c>
      <c r="L554" s="5">
        <f t="shared" si="35"/>
        <v>3</v>
      </c>
      <c r="M554" s="5" t="str">
        <f t="shared" si="32"/>
        <v/>
      </c>
      <c r="N554" s="5" t="s">
        <v>2175</v>
      </c>
      <c r="O554" s="5" t="s">
        <v>3340</v>
      </c>
      <c r="P554" s="5" t="s">
        <v>2177</v>
      </c>
      <c r="Q554" s="5" t="s">
        <v>2178</v>
      </c>
    </row>
    <row r="555" spans="1:17">
      <c r="A555" s="9">
        <v>46178</v>
      </c>
      <c r="B555" s="5" t="s">
        <v>81</v>
      </c>
      <c r="C555" s="5" t="s">
        <v>82</v>
      </c>
      <c r="D555" s="4" t="s">
        <v>3643</v>
      </c>
      <c r="E555" s="5" t="s">
        <v>2727</v>
      </c>
      <c r="F555" s="5">
        <f t="shared" si="33"/>
        <v>19</v>
      </c>
      <c r="G555" s="5" t="s">
        <v>19</v>
      </c>
      <c r="H555" s="5" t="s">
        <v>20</v>
      </c>
      <c r="I555" s="5" t="s">
        <v>21</v>
      </c>
      <c r="J555" s="5" t="s">
        <v>21</v>
      </c>
      <c r="K555" s="5">
        <f t="shared" si="34"/>
        <v>3</v>
      </c>
      <c r="L555" s="5">
        <f t="shared" si="35"/>
        <v>3</v>
      </c>
      <c r="M555" s="5" t="str">
        <f t="shared" si="32"/>
        <v/>
      </c>
      <c r="N555" s="5" t="s">
        <v>2180</v>
      </c>
      <c r="O555" s="5" t="s">
        <v>2181</v>
      </c>
      <c r="P555" s="5" t="s">
        <v>2182</v>
      </c>
      <c r="Q555" s="5"/>
    </row>
    <row r="556" spans="1:17">
      <c r="A556" s="9">
        <v>46178</v>
      </c>
      <c r="B556" s="5" t="s">
        <v>15</v>
      </c>
      <c r="C556" s="5" t="s">
        <v>16</v>
      </c>
      <c r="D556" s="5" t="s">
        <v>1064</v>
      </c>
      <c r="E556" s="5" t="s">
        <v>2728</v>
      </c>
      <c r="F556" s="5">
        <f t="shared" si="33"/>
        <v>20</v>
      </c>
      <c r="G556" s="5" t="s">
        <v>19</v>
      </c>
      <c r="H556" s="5" t="s">
        <v>20</v>
      </c>
      <c r="I556" s="5" t="s">
        <v>28</v>
      </c>
      <c r="J556" s="5" t="s">
        <v>28</v>
      </c>
      <c r="K556" s="5">
        <f t="shared" si="34"/>
        <v>4</v>
      </c>
      <c r="L556" s="5">
        <f t="shared" si="35"/>
        <v>4</v>
      </c>
      <c r="M556" s="5" t="str">
        <f t="shared" si="32"/>
        <v/>
      </c>
      <c r="N556" s="5" t="s">
        <v>2184</v>
      </c>
      <c r="O556" s="5" t="s">
        <v>2185</v>
      </c>
      <c r="P556" s="5" t="s">
        <v>2186</v>
      </c>
      <c r="Q556" s="5"/>
    </row>
    <row r="557" spans="1:17">
      <c r="A557" s="9">
        <v>46178</v>
      </c>
      <c r="B557" s="5" t="s">
        <v>81</v>
      </c>
      <c r="C557" s="5" t="s">
        <v>82</v>
      </c>
      <c r="D557" s="4" t="s">
        <v>3643</v>
      </c>
      <c r="E557" s="5" t="s">
        <v>2729</v>
      </c>
      <c r="F557" s="5">
        <f t="shared" si="33"/>
        <v>42</v>
      </c>
      <c r="G557" s="5" t="s">
        <v>19</v>
      </c>
      <c r="H557" s="5" t="s">
        <v>20</v>
      </c>
      <c r="I557" s="5" t="s">
        <v>28</v>
      </c>
      <c r="J557" s="5" t="s">
        <v>28</v>
      </c>
      <c r="K557" s="5">
        <f t="shared" si="34"/>
        <v>4</v>
      </c>
      <c r="L557" s="5">
        <f t="shared" si="35"/>
        <v>4</v>
      </c>
      <c r="M557" s="5" t="str">
        <f t="shared" si="32"/>
        <v/>
      </c>
      <c r="N557" s="5" t="s">
        <v>2188</v>
      </c>
      <c r="O557" s="5"/>
      <c r="P557" s="5"/>
      <c r="Q557" s="5"/>
    </row>
    <row r="558" spans="1:17">
      <c r="A558" s="9">
        <v>46178</v>
      </c>
      <c r="B558" s="5" t="s">
        <v>15</v>
      </c>
      <c r="C558" s="5" t="s">
        <v>33</v>
      </c>
      <c r="D558" s="5" t="s">
        <v>62</v>
      </c>
      <c r="E558" s="5" t="s">
        <v>2730</v>
      </c>
      <c r="F558" s="5">
        <f t="shared" si="33"/>
        <v>29</v>
      </c>
      <c r="G558" s="5" t="s">
        <v>19</v>
      </c>
      <c r="H558" s="5" t="s">
        <v>20</v>
      </c>
      <c r="I558" s="5" t="s">
        <v>21</v>
      </c>
      <c r="J558" s="5" t="s">
        <v>21</v>
      </c>
      <c r="K558" s="5">
        <f t="shared" si="34"/>
        <v>3</v>
      </c>
      <c r="L558" s="5">
        <f t="shared" si="35"/>
        <v>3</v>
      </c>
      <c r="M558" s="5" t="str">
        <f t="shared" si="32"/>
        <v/>
      </c>
      <c r="N558" s="5" t="s">
        <v>3341</v>
      </c>
      <c r="O558" s="5" t="s">
        <v>2815</v>
      </c>
      <c r="P558" s="5" t="s">
        <v>3342</v>
      </c>
      <c r="Q558" s="5"/>
    </row>
    <row r="559" spans="1:17">
      <c r="A559" s="9">
        <v>46178</v>
      </c>
      <c r="B559" s="5" t="s">
        <v>3405</v>
      </c>
      <c r="C559" s="5" t="s">
        <v>3406</v>
      </c>
      <c r="D559" s="5" t="s">
        <v>3405</v>
      </c>
      <c r="E559" s="5" t="s">
        <v>2671</v>
      </c>
      <c r="F559" s="5">
        <f t="shared" si="33"/>
        <v>20</v>
      </c>
      <c r="G559" s="5" t="s">
        <v>1034</v>
      </c>
      <c r="H559" s="5" t="s">
        <v>20</v>
      </c>
      <c r="I559" s="5" t="s">
        <v>28</v>
      </c>
      <c r="J559" s="5" t="s">
        <v>28</v>
      </c>
      <c r="K559" s="5">
        <f t="shared" si="34"/>
        <v>4</v>
      </c>
      <c r="L559" s="5">
        <f t="shared" si="35"/>
        <v>4</v>
      </c>
      <c r="M559" s="5" t="str">
        <f t="shared" si="32"/>
        <v/>
      </c>
      <c r="N559" s="5" t="s">
        <v>2193</v>
      </c>
      <c r="O559" s="5"/>
      <c r="P559" s="5" t="s">
        <v>3343</v>
      </c>
      <c r="Q559" s="5"/>
    </row>
    <row r="560" spans="1:17">
      <c r="A560" s="9">
        <v>46178</v>
      </c>
      <c r="B560" s="5" t="s">
        <v>15</v>
      </c>
      <c r="C560" s="5" t="s">
        <v>33</v>
      </c>
      <c r="D560" s="5" t="s">
        <v>34</v>
      </c>
      <c r="E560" s="5" t="s">
        <v>3424</v>
      </c>
      <c r="F560" s="5">
        <f t="shared" si="33"/>
        <v>34</v>
      </c>
      <c r="G560" s="5" t="s">
        <v>19</v>
      </c>
      <c r="H560" s="5" t="s">
        <v>20</v>
      </c>
      <c r="I560" s="5" t="s">
        <v>21</v>
      </c>
      <c r="J560" s="5" t="s">
        <v>21</v>
      </c>
      <c r="K560" s="5">
        <f t="shared" si="34"/>
        <v>3</v>
      </c>
      <c r="L560" s="5">
        <f t="shared" si="35"/>
        <v>3</v>
      </c>
      <c r="M560" s="5" t="str">
        <f t="shared" si="32"/>
        <v/>
      </c>
      <c r="N560" s="5" t="s">
        <v>2196</v>
      </c>
      <c r="O560" s="5" t="s">
        <v>2197</v>
      </c>
      <c r="P560" s="5" t="s">
        <v>21</v>
      </c>
      <c r="Q560" s="5" t="s">
        <v>123</v>
      </c>
    </row>
    <row r="561" spans="1:17">
      <c r="A561" s="9">
        <v>46179</v>
      </c>
      <c r="B561" s="5" t="s">
        <v>1030</v>
      </c>
      <c r="C561" s="5" t="s">
        <v>3408</v>
      </c>
      <c r="D561" s="5" t="s">
        <v>1061</v>
      </c>
      <c r="E561" s="5" t="s">
        <v>2731</v>
      </c>
      <c r="F561" s="5">
        <f t="shared" si="33"/>
        <v>26</v>
      </c>
      <c r="G561" s="5" t="s">
        <v>981</v>
      </c>
      <c r="H561" s="5" t="s">
        <v>20</v>
      </c>
      <c r="I561" s="5" t="s">
        <v>21</v>
      </c>
      <c r="J561" s="5" t="s">
        <v>21</v>
      </c>
      <c r="K561" s="5">
        <f t="shared" si="34"/>
        <v>3</v>
      </c>
      <c r="L561" s="5">
        <f t="shared" si="35"/>
        <v>3</v>
      </c>
      <c r="M561" s="5" t="str">
        <f t="shared" si="32"/>
        <v/>
      </c>
      <c r="N561" s="5" t="s">
        <v>2199</v>
      </c>
      <c r="O561" s="5" t="s">
        <v>2200</v>
      </c>
      <c r="P561" s="5" t="s">
        <v>2201</v>
      </c>
      <c r="Q561" s="5"/>
    </row>
    <row r="562" spans="1:17">
      <c r="A562" s="9">
        <v>46179</v>
      </c>
      <c r="B562" s="5" t="s">
        <v>3405</v>
      </c>
      <c r="C562" s="5" t="s">
        <v>3406</v>
      </c>
      <c r="D562" s="5" t="s">
        <v>3405</v>
      </c>
      <c r="E562" s="5" t="s">
        <v>2697</v>
      </c>
      <c r="F562" s="5">
        <f t="shared" si="33"/>
        <v>21</v>
      </c>
      <c r="G562" s="5" t="s">
        <v>1034</v>
      </c>
      <c r="H562" s="5" t="s">
        <v>45</v>
      </c>
      <c r="I562" s="5" t="s">
        <v>21</v>
      </c>
      <c r="J562" s="5" t="s">
        <v>21</v>
      </c>
      <c r="K562" s="5">
        <f t="shared" si="34"/>
        <v>3</v>
      </c>
      <c r="L562" s="5">
        <f t="shared" si="35"/>
        <v>3</v>
      </c>
      <c r="M562" s="5" t="str">
        <f t="shared" si="32"/>
        <v/>
      </c>
      <c r="N562" s="5" t="s">
        <v>2202</v>
      </c>
      <c r="O562" s="5" t="s">
        <v>2203</v>
      </c>
      <c r="P562" s="5" t="s">
        <v>2204</v>
      </c>
      <c r="Q562" s="5" t="s">
        <v>2205</v>
      </c>
    </row>
    <row r="563" spans="1:17">
      <c r="A563" s="9">
        <v>46179</v>
      </c>
      <c r="B563" s="5" t="s">
        <v>15</v>
      </c>
      <c r="C563" s="5" t="s">
        <v>16</v>
      </c>
      <c r="D563" s="5" t="s">
        <v>105</v>
      </c>
      <c r="E563" s="5" t="s">
        <v>2732</v>
      </c>
      <c r="F563" s="5">
        <f t="shared" si="33"/>
        <v>27</v>
      </c>
      <c r="G563" s="5" t="s">
        <v>19</v>
      </c>
      <c r="H563" s="5" t="s">
        <v>45</v>
      </c>
      <c r="I563" s="5" t="s">
        <v>28</v>
      </c>
      <c r="J563" s="5" t="s">
        <v>28</v>
      </c>
      <c r="K563" s="5">
        <f t="shared" si="34"/>
        <v>4</v>
      </c>
      <c r="L563" s="5">
        <f t="shared" si="35"/>
        <v>4</v>
      </c>
      <c r="M563" s="5" t="str">
        <f t="shared" si="32"/>
        <v/>
      </c>
      <c r="N563" s="5" t="s">
        <v>3613</v>
      </c>
      <c r="O563" s="5" t="s">
        <v>3614</v>
      </c>
      <c r="P563" s="5" t="s">
        <v>3615</v>
      </c>
      <c r="Q563" s="5"/>
    </row>
    <row r="564" spans="1:17">
      <c r="A564" s="9">
        <v>46179</v>
      </c>
      <c r="B564" s="5" t="s">
        <v>15</v>
      </c>
      <c r="C564" s="5" t="s">
        <v>16</v>
      </c>
      <c r="D564" s="5" t="s">
        <v>177</v>
      </c>
      <c r="E564" s="5" t="s">
        <v>2733</v>
      </c>
      <c r="F564" s="5">
        <f t="shared" si="33"/>
        <v>44</v>
      </c>
      <c r="G564" s="5" t="s">
        <v>19</v>
      </c>
      <c r="H564" s="5" t="s">
        <v>20</v>
      </c>
      <c r="I564" s="5" t="s">
        <v>28</v>
      </c>
      <c r="J564" s="5" t="s">
        <v>28</v>
      </c>
      <c r="K564" s="5">
        <f t="shared" si="34"/>
        <v>4</v>
      </c>
      <c r="L564" s="5">
        <f t="shared" si="35"/>
        <v>4</v>
      </c>
      <c r="M564" s="5" t="str">
        <f t="shared" si="32"/>
        <v/>
      </c>
      <c r="N564" s="5" t="s">
        <v>3344</v>
      </c>
      <c r="O564" s="5" t="s">
        <v>3345</v>
      </c>
      <c r="P564" s="5" t="s">
        <v>3346</v>
      </c>
      <c r="Q564" s="5"/>
    </row>
    <row r="565" spans="1:17">
      <c r="A565" s="9">
        <v>46179</v>
      </c>
      <c r="B565" s="5" t="s">
        <v>15</v>
      </c>
      <c r="C565" s="5" t="s">
        <v>39</v>
      </c>
      <c r="D565" s="4" t="s">
        <v>3637</v>
      </c>
      <c r="E565" s="5" t="s">
        <v>2734</v>
      </c>
      <c r="F565" s="5">
        <f t="shared" si="33"/>
        <v>26</v>
      </c>
      <c r="G565" s="5" t="s">
        <v>19</v>
      </c>
      <c r="H565" s="5" t="s">
        <v>45</v>
      </c>
      <c r="I565" s="5" t="s">
        <v>28</v>
      </c>
      <c r="J565" s="5" t="s">
        <v>28</v>
      </c>
      <c r="K565" s="5">
        <f t="shared" si="34"/>
        <v>4</v>
      </c>
      <c r="L565" s="5">
        <f t="shared" si="35"/>
        <v>4</v>
      </c>
      <c r="M565" s="5" t="str">
        <f t="shared" si="32"/>
        <v/>
      </c>
      <c r="N565" s="5" t="s">
        <v>3347</v>
      </c>
      <c r="O565" s="5" t="s">
        <v>2216</v>
      </c>
      <c r="P565" s="5" t="s">
        <v>3348</v>
      </c>
      <c r="Q565" s="5"/>
    </row>
    <row r="566" spans="1:17">
      <c r="A566" s="9">
        <v>46179</v>
      </c>
      <c r="B566" s="5" t="s">
        <v>81</v>
      </c>
      <c r="C566" s="5" t="s">
        <v>50</v>
      </c>
      <c r="D566" s="5" t="s">
        <v>3404</v>
      </c>
      <c r="E566" s="5" t="s">
        <v>2735</v>
      </c>
      <c r="F566" s="5">
        <f t="shared" si="33"/>
        <v>34</v>
      </c>
      <c r="G566" s="5" t="s">
        <v>19</v>
      </c>
      <c r="H566" s="5" t="s">
        <v>20</v>
      </c>
      <c r="I566" s="5" t="s">
        <v>28</v>
      </c>
      <c r="J566" s="5" t="s">
        <v>28</v>
      </c>
      <c r="K566" s="5">
        <f t="shared" si="34"/>
        <v>4</v>
      </c>
      <c r="L566" s="5">
        <f t="shared" si="35"/>
        <v>4</v>
      </c>
      <c r="M566" s="5" t="str">
        <f t="shared" si="32"/>
        <v/>
      </c>
      <c r="N566" s="5" t="s">
        <v>3349</v>
      </c>
      <c r="O566" s="5" t="s">
        <v>3350</v>
      </c>
      <c r="P566" s="5" t="s">
        <v>55</v>
      </c>
      <c r="Q566" s="5"/>
    </row>
    <row r="567" spans="1:17">
      <c r="A567" s="9">
        <v>46179</v>
      </c>
      <c r="B567" s="5" t="s">
        <v>81</v>
      </c>
      <c r="C567" s="5" t="s">
        <v>50</v>
      </c>
      <c r="D567" s="4" t="s">
        <v>3638</v>
      </c>
      <c r="E567" s="5" t="s">
        <v>2736</v>
      </c>
      <c r="F567" s="5">
        <f t="shared" si="33"/>
        <v>21</v>
      </c>
      <c r="G567" s="5" t="s">
        <v>19</v>
      </c>
      <c r="H567" s="5" t="s">
        <v>20</v>
      </c>
      <c r="I567" s="5" t="s">
        <v>21</v>
      </c>
      <c r="J567" s="5" t="s">
        <v>21</v>
      </c>
      <c r="K567" s="5">
        <f t="shared" si="34"/>
        <v>3</v>
      </c>
      <c r="L567" s="5">
        <f t="shared" si="35"/>
        <v>3</v>
      </c>
      <c r="M567" s="5" t="str">
        <f t="shared" si="32"/>
        <v/>
      </c>
      <c r="N567" s="5" t="s">
        <v>2816</v>
      </c>
      <c r="O567" s="5" t="s">
        <v>3351</v>
      </c>
      <c r="P567" s="5" t="s">
        <v>2224</v>
      </c>
      <c r="Q567" s="5" t="s">
        <v>2225</v>
      </c>
    </row>
    <row r="568" spans="1:17">
      <c r="A568" s="9">
        <v>46179</v>
      </c>
      <c r="B568" s="5" t="s">
        <v>15</v>
      </c>
      <c r="C568" s="5" t="s">
        <v>33</v>
      </c>
      <c r="D568" s="5" t="s">
        <v>62</v>
      </c>
      <c r="E568" s="5" t="s">
        <v>2737</v>
      </c>
      <c r="F568" s="5">
        <f t="shared" si="33"/>
        <v>25</v>
      </c>
      <c r="G568" s="5" t="s">
        <v>19</v>
      </c>
      <c r="H568" s="5" t="s">
        <v>45</v>
      </c>
      <c r="I568" s="5" t="s">
        <v>28</v>
      </c>
      <c r="J568" s="5" t="s">
        <v>21</v>
      </c>
      <c r="K568" s="5">
        <f t="shared" si="34"/>
        <v>4</v>
      </c>
      <c r="L568" s="5">
        <f t="shared" si="35"/>
        <v>3</v>
      </c>
      <c r="M568" s="5" t="str">
        <f t="shared" si="32"/>
        <v/>
      </c>
      <c r="N568" s="5" t="s">
        <v>3352</v>
      </c>
      <c r="O568" s="5" t="s">
        <v>513</v>
      </c>
      <c r="P568" s="5" t="s">
        <v>2228</v>
      </c>
      <c r="Q568" s="5"/>
    </row>
    <row r="569" spans="1:17">
      <c r="A569" s="9">
        <v>46179</v>
      </c>
      <c r="B569" s="5" t="s">
        <v>15</v>
      </c>
      <c r="C569" s="5" t="s">
        <v>39</v>
      </c>
      <c r="D569" s="4" t="s">
        <v>3637</v>
      </c>
      <c r="E569" s="5" t="s">
        <v>2738</v>
      </c>
      <c r="F569" s="5">
        <f t="shared" si="33"/>
        <v>31</v>
      </c>
      <c r="G569" s="5" t="s">
        <v>19</v>
      </c>
      <c r="H569" s="5" t="s">
        <v>20</v>
      </c>
      <c r="I569" s="5" t="s">
        <v>28</v>
      </c>
      <c r="J569" s="5" t="s">
        <v>28</v>
      </c>
      <c r="K569" s="5">
        <f t="shared" si="34"/>
        <v>4</v>
      </c>
      <c r="L569" s="5">
        <f t="shared" si="35"/>
        <v>4</v>
      </c>
      <c r="M569" s="5" t="str">
        <f t="shared" si="32"/>
        <v/>
      </c>
      <c r="N569" s="5" t="s">
        <v>3353</v>
      </c>
      <c r="O569" s="5" t="s">
        <v>3354</v>
      </c>
      <c r="P569" s="5" t="s">
        <v>2232</v>
      </c>
      <c r="Q569" s="5" t="s">
        <v>2233</v>
      </c>
    </row>
    <row r="570" spans="1:17">
      <c r="A570" s="9">
        <v>46179</v>
      </c>
      <c r="B570" s="5" t="s">
        <v>1073</v>
      </c>
      <c r="C570" s="5" t="s">
        <v>3409</v>
      </c>
      <c r="D570" s="5" t="s">
        <v>1075</v>
      </c>
      <c r="E570" s="5" t="s">
        <v>2739</v>
      </c>
      <c r="F570" s="5">
        <f t="shared" si="33"/>
        <v>23</v>
      </c>
      <c r="G570" s="5" t="s">
        <v>981</v>
      </c>
      <c r="H570" s="5" t="s">
        <v>20</v>
      </c>
      <c r="I570" s="5" t="s">
        <v>28</v>
      </c>
      <c r="J570" s="5" t="s">
        <v>28</v>
      </c>
      <c r="K570" s="5">
        <f t="shared" si="34"/>
        <v>4</v>
      </c>
      <c r="L570" s="5">
        <f t="shared" si="35"/>
        <v>4</v>
      </c>
      <c r="M570" s="5" t="str">
        <f t="shared" si="32"/>
        <v/>
      </c>
      <c r="N570" s="5" t="s">
        <v>3355</v>
      </c>
      <c r="O570" s="5" t="s">
        <v>3616</v>
      </c>
      <c r="P570" s="5" t="s">
        <v>3356</v>
      </c>
      <c r="Q570" s="5" t="s">
        <v>3357</v>
      </c>
    </row>
    <row r="571" spans="1:17">
      <c r="A571" s="9">
        <v>46179</v>
      </c>
      <c r="B571" s="5" t="s">
        <v>72</v>
      </c>
      <c r="C571" s="5" t="s">
        <v>3384</v>
      </c>
      <c r="D571" s="5" t="s">
        <v>72</v>
      </c>
      <c r="E571" s="5" t="s">
        <v>2740</v>
      </c>
      <c r="F571" s="5">
        <f t="shared" si="33"/>
        <v>25</v>
      </c>
      <c r="G571" s="5" t="s">
        <v>19</v>
      </c>
      <c r="H571" s="5" t="s">
        <v>20</v>
      </c>
      <c r="I571" s="5" t="s">
        <v>21</v>
      </c>
      <c r="J571" s="5" t="s">
        <v>28</v>
      </c>
      <c r="K571" s="5">
        <f t="shared" si="34"/>
        <v>3</v>
      </c>
      <c r="L571" s="5">
        <f t="shared" si="35"/>
        <v>4</v>
      </c>
      <c r="M571" s="5" t="str">
        <f t="shared" si="32"/>
        <v/>
      </c>
      <c r="N571" s="5" t="s">
        <v>2240</v>
      </c>
      <c r="O571" s="5"/>
      <c r="P571" s="5" t="s">
        <v>2241</v>
      </c>
      <c r="Q571" s="5"/>
    </row>
    <row r="572" spans="1:17">
      <c r="A572" s="9">
        <v>46179</v>
      </c>
      <c r="B572" s="5" t="s">
        <v>15</v>
      </c>
      <c r="C572" s="5" t="s">
        <v>33</v>
      </c>
      <c r="D572" s="5" t="s">
        <v>62</v>
      </c>
      <c r="E572" s="5" t="s">
        <v>2741</v>
      </c>
      <c r="F572" s="5">
        <f t="shared" si="33"/>
        <v>37</v>
      </c>
      <c r="G572" s="5" t="s">
        <v>19</v>
      </c>
      <c r="H572" s="5" t="s">
        <v>45</v>
      </c>
      <c r="I572" s="5" t="s">
        <v>21</v>
      </c>
      <c r="J572" s="5" t="s">
        <v>21</v>
      </c>
      <c r="K572" s="5">
        <f t="shared" si="34"/>
        <v>3</v>
      </c>
      <c r="L572" s="5">
        <f t="shared" si="35"/>
        <v>3</v>
      </c>
      <c r="M572" s="5" t="str">
        <f t="shared" si="32"/>
        <v/>
      </c>
      <c r="N572" s="5" t="s">
        <v>2243</v>
      </c>
      <c r="O572" s="5" t="s">
        <v>3617</v>
      </c>
      <c r="P572" s="5" t="s">
        <v>163</v>
      </c>
      <c r="Q572" s="5"/>
    </row>
    <row r="573" spans="1:17">
      <c r="A573" s="9">
        <v>46180</v>
      </c>
      <c r="B573" s="5" t="s">
        <v>72</v>
      </c>
      <c r="C573" s="5" t="s">
        <v>3384</v>
      </c>
      <c r="D573" s="5" t="s">
        <v>72</v>
      </c>
      <c r="E573" s="5" t="s">
        <v>3358</v>
      </c>
      <c r="F573" s="5">
        <f t="shared" si="33"/>
        <v>28</v>
      </c>
      <c r="G573" s="5" t="s">
        <v>19</v>
      </c>
      <c r="H573" s="5" t="s">
        <v>45</v>
      </c>
      <c r="I573" s="5" t="s">
        <v>21</v>
      </c>
      <c r="J573" s="5" t="s">
        <v>21</v>
      </c>
      <c r="K573" s="5">
        <f t="shared" si="34"/>
        <v>3</v>
      </c>
      <c r="L573" s="5">
        <f t="shared" si="35"/>
        <v>3</v>
      </c>
      <c r="M573" s="5" t="str">
        <f t="shared" si="32"/>
        <v/>
      </c>
      <c r="N573" s="5" t="s">
        <v>3359</v>
      </c>
      <c r="O573" s="5" t="s">
        <v>2247</v>
      </c>
      <c r="P573" s="5" t="s">
        <v>2817</v>
      </c>
      <c r="Q573" s="5"/>
    </row>
    <row r="574" spans="1:17">
      <c r="A574" s="9">
        <v>46180</v>
      </c>
      <c r="B574" s="5" t="s">
        <v>15</v>
      </c>
      <c r="C574" s="5" t="s">
        <v>33</v>
      </c>
      <c r="D574" s="5" t="s">
        <v>553</v>
      </c>
      <c r="E574" s="5" t="s">
        <v>2742</v>
      </c>
      <c r="F574" s="5">
        <f t="shared" si="33"/>
        <v>24</v>
      </c>
      <c r="G574" s="5" t="s">
        <v>19</v>
      </c>
      <c r="H574" s="5" t="s">
        <v>45</v>
      </c>
      <c r="I574" s="5" t="s">
        <v>28</v>
      </c>
      <c r="J574" s="5" t="s">
        <v>28</v>
      </c>
      <c r="K574" s="5">
        <f t="shared" si="34"/>
        <v>4</v>
      </c>
      <c r="L574" s="5">
        <f t="shared" si="35"/>
        <v>4</v>
      </c>
      <c r="M574" s="5" t="str">
        <f t="shared" si="32"/>
        <v/>
      </c>
      <c r="N574" s="5" t="s">
        <v>3425</v>
      </c>
      <c r="O574" s="5"/>
      <c r="P574" s="5" t="s">
        <v>2251</v>
      </c>
      <c r="Q574" s="5"/>
    </row>
    <row r="575" spans="1:17">
      <c r="A575" s="9">
        <v>46180</v>
      </c>
      <c r="B575" s="5" t="s">
        <v>15</v>
      </c>
      <c r="C575" s="5" t="s">
        <v>33</v>
      </c>
      <c r="D575" s="5" t="s">
        <v>553</v>
      </c>
      <c r="E575" s="5" t="s">
        <v>3360</v>
      </c>
      <c r="F575" s="5">
        <f t="shared" si="33"/>
        <v>27</v>
      </c>
      <c r="G575" s="5" t="s">
        <v>19</v>
      </c>
      <c r="H575" s="5" t="s">
        <v>20</v>
      </c>
      <c r="I575" s="5" t="s">
        <v>21</v>
      </c>
      <c r="J575" s="5" t="s">
        <v>28</v>
      </c>
      <c r="K575" s="5">
        <f t="shared" si="34"/>
        <v>3</v>
      </c>
      <c r="L575" s="5">
        <f t="shared" si="35"/>
        <v>4</v>
      </c>
      <c r="M575" s="5" t="str">
        <f t="shared" si="32"/>
        <v/>
      </c>
      <c r="N575" s="5" t="s">
        <v>2253</v>
      </c>
      <c r="O575" s="5"/>
      <c r="P575" s="5"/>
      <c r="Q575" s="5"/>
    </row>
    <row r="576" spans="1:17">
      <c r="A576" s="9">
        <v>46180</v>
      </c>
      <c r="B576" s="5" t="s">
        <v>1030</v>
      </c>
      <c r="C576" s="5" t="s">
        <v>3408</v>
      </c>
      <c r="D576" s="5" t="s">
        <v>1061</v>
      </c>
      <c r="E576" s="5" t="s">
        <v>3361</v>
      </c>
      <c r="F576" s="5">
        <f t="shared" si="33"/>
        <v>34</v>
      </c>
      <c r="G576" s="5" t="s">
        <v>981</v>
      </c>
      <c r="H576" s="5" t="s">
        <v>20</v>
      </c>
      <c r="I576" s="5" t="s">
        <v>21</v>
      </c>
      <c r="J576" s="5" t="s">
        <v>21</v>
      </c>
      <c r="K576" s="5">
        <f t="shared" si="34"/>
        <v>3</v>
      </c>
      <c r="L576" s="5">
        <f t="shared" si="35"/>
        <v>3</v>
      </c>
      <c r="M576" s="5" t="str">
        <f t="shared" si="32"/>
        <v/>
      </c>
      <c r="N576" s="5" t="s">
        <v>1544</v>
      </c>
      <c r="O576" s="5" t="s">
        <v>513</v>
      </c>
      <c r="P576" s="5" t="s">
        <v>123</v>
      </c>
      <c r="Q576" s="5" t="s">
        <v>123</v>
      </c>
    </row>
    <row r="577" spans="1:17">
      <c r="A577" s="9">
        <v>46180</v>
      </c>
      <c r="B577" s="5" t="s">
        <v>15</v>
      </c>
      <c r="C577" s="5" t="s">
        <v>39</v>
      </c>
      <c r="D577" s="5" t="s">
        <v>3382</v>
      </c>
      <c r="E577" s="5" t="s">
        <v>2743</v>
      </c>
      <c r="F577" s="5">
        <f t="shared" si="33"/>
        <v>22</v>
      </c>
      <c r="G577" s="5" t="s">
        <v>19</v>
      </c>
      <c r="H577" s="5" t="s">
        <v>20</v>
      </c>
      <c r="I577" s="5" t="s">
        <v>28</v>
      </c>
      <c r="J577" s="5" t="s">
        <v>28</v>
      </c>
      <c r="K577" s="5">
        <f t="shared" si="34"/>
        <v>4</v>
      </c>
      <c r="L577" s="5">
        <f t="shared" si="35"/>
        <v>4</v>
      </c>
      <c r="M577" s="5" t="str">
        <f t="shared" si="32"/>
        <v/>
      </c>
      <c r="N577" s="5" t="s">
        <v>3362</v>
      </c>
      <c r="O577" s="5" t="s">
        <v>3618</v>
      </c>
      <c r="P577" s="5" t="s">
        <v>3619</v>
      </c>
      <c r="Q577" s="5"/>
    </row>
    <row r="578" spans="1:17">
      <c r="A578" s="9">
        <v>46181</v>
      </c>
      <c r="B578" s="5" t="s">
        <v>15</v>
      </c>
      <c r="C578" s="5" t="s">
        <v>16</v>
      </c>
      <c r="D578" s="5" t="s">
        <v>1064</v>
      </c>
      <c r="E578" s="5" t="s">
        <v>2744</v>
      </c>
      <c r="F578" s="5">
        <f t="shared" si="33"/>
        <v>21</v>
      </c>
      <c r="G578" s="5" t="s">
        <v>19</v>
      </c>
      <c r="H578" s="5" t="s">
        <v>20</v>
      </c>
      <c r="I578" s="5" t="s">
        <v>21</v>
      </c>
      <c r="J578" s="5" t="s">
        <v>28</v>
      </c>
      <c r="K578" s="5">
        <f t="shared" si="34"/>
        <v>3</v>
      </c>
      <c r="L578" s="5">
        <f t="shared" si="35"/>
        <v>4</v>
      </c>
      <c r="M578" s="5" t="str">
        <f t="shared" ref="M578:M590" si="36">IF(OR(I578="Poor",I578="Very Poor"),"YES","")</f>
        <v/>
      </c>
      <c r="N578" s="5" t="s">
        <v>3363</v>
      </c>
      <c r="O578" s="5" t="s">
        <v>2261</v>
      </c>
      <c r="P578" s="5"/>
      <c r="Q578" s="5"/>
    </row>
    <row r="579" spans="1:17">
      <c r="A579" s="9">
        <v>46181</v>
      </c>
      <c r="B579" s="5" t="s">
        <v>15</v>
      </c>
      <c r="C579" s="5" t="s">
        <v>16</v>
      </c>
      <c r="D579" s="5" t="s">
        <v>105</v>
      </c>
      <c r="E579" s="5" t="s">
        <v>2745</v>
      </c>
      <c r="F579" s="5">
        <f t="shared" ref="F579:F590" si="37">LEN(E579)</f>
        <v>31</v>
      </c>
      <c r="G579" s="5" t="s">
        <v>19</v>
      </c>
      <c r="H579" s="5" t="s">
        <v>45</v>
      </c>
      <c r="I579" s="5" t="s">
        <v>21</v>
      </c>
      <c r="J579" s="5" t="s">
        <v>28</v>
      </c>
      <c r="K579" s="5">
        <f t="shared" ref="K579:K590" si="38">IF(I579="Very Good",4,IF(I579="Good",3,IF(I579="Poor",2,IF(I579="Very Poor",1,""))))</f>
        <v>3</v>
      </c>
      <c r="L579" s="5">
        <f t="shared" ref="L579:L590" si="39">IF(J579="Very Good",4,IF(J579="Good",3,IF(J579="Poor",2,IF(J579="Very Poor",1,""))))</f>
        <v>4</v>
      </c>
      <c r="M579" s="5" t="str">
        <f t="shared" si="36"/>
        <v/>
      </c>
      <c r="N579" s="5" t="s">
        <v>2263</v>
      </c>
      <c r="O579" s="5" t="s">
        <v>2264</v>
      </c>
      <c r="P579" s="5" t="s">
        <v>2265</v>
      </c>
      <c r="Q579" s="5"/>
    </row>
    <row r="580" spans="1:17">
      <c r="A580" s="9">
        <v>46181</v>
      </c>
      <c r="B580" s="5" t="s">
        <v>15</v>
      </c>
      <c r="C580" s="5" t="s">
        <v>33</v>
      </c>
      <c r="D580" s="5" t="s">
        <v>62</v>
      </c>
      <c r="E580" s="5" t="s">
        <v>2746</v>
      </c>
      <c r="F580" s="5">
        <f t="shared" si="37"/>
        <v>33</v>
      </c>
      <c r="G580" s="5" t="s">
        <v>19</v>
      </c>
      <c r="H580" s="5" t="s">
        <v>20</v>
      </c>
      <c r="I580" s="5" t="s">
        <v>21</v>
      </c>
      <c r="J580" s="5" t="s">
        <v>21</v>
      </c>
      <c r="K580" s="5">
        <f t="shared" si="38"/>
        <v>3</v>
      </c>
      <c r="L580" s="5">
        <f t="shared" si="39"/>
        <v>3</v>
      </c>
      <c r="M580" s="5" t="str">
        <f t="shared" si="36"/>
        <v/>
      </c>
      <c r="N580" s="5" t="s">
        <v>761</v>
      </c>
      <c r="O580" s="5" t="s">
        <v>3620</v>
      </c>
      <c r="P580" s="5" t="s">
        <v>2268</v>
      </c>
      <c r="Q580" s="5"/>
    </row>
    <row r="581" spans="1:17">
      <c r="A581" s="9">
        <v>46181</v>
      </c>
      <c r="B581" s="5" t="s">
        <v>15</v>
      </c>
      <c r="C581" s="5" t="s">
        <v>33</v>
      </c>
      <c r="D581" s="5" t="s">
        <v>62</v>
      </c>
      <c r="E581" s="5" t="s">
        <v>2747</v>
      </c>
      <c r="F581" s="5">
        <f t="shared" si="37"/>
        <v>39</v>
      </c>
      <c r="G581" s="5" t="s">
        <v>19</v>
      </c>
      <c r="H581" s="5" t="s">
        <v>20</v>
      </c>
      <c r="I581" s="5" t="s">
        <v>21</v>
      </c>
      <c r="J581" s="5" t="s">
        <v>21</v>
      </c>
      <c r="K581" s="5">
        <f t="shared" si="38"/>
        <v>3</v>
      </c>
      <c r="L581" s="5">
        <f t="shared" si="39"/>
        <v>3</v>
      </c>
      <c r="M581" s="5" t="str">
        <f t="shared" si="36"/>
        <v/>
      </c>
      <c r="N581" s="5" t="s">
        <v>2270</v>
      </c>
      <c r="O581" s="5" t="s">
        <v>3364</v>
      </c>
      <c r="P581" s="5" t="s">
        <v>2272</v>
      </c>
      <c r="Q581" s="5"/>
    </row>
    <row r="582" spans="1:17">
      <c r="A582" s="9">
        <v>46178</v>
      </c>
      <c r="B582" s="5" t="s">
        <v>15</v>
      </c>
      <c r="C582" s="5" t="s">
        <v>16</v>
      </c>
      <c r="D582" s="5" t="s">
        <v>105</v>
      </c>
      <c r="E582" s="5" t="s">
        <v>2748</v>
      </c>
      <c r="F582" s="5">
        <f t="shared" si="37"/>
        <v>28</v>
      </c>
      <c r="G582" s="5" t="s">
        <v>19</v>
      </c>
      <c r="H582" s="5" t="s">
        <v>20</v>
      </c>
      <c r="I582" s="5" t="s">
        <v>28</v>
      </c>
      <c r="J582" s="5" t="s">
        <v>21</v>
      </c>
      <c r="K582" s="5">
        <f t="shared" si="38"/>
        <v>4</v>
      </c>
      <c r="L582" s="5">
        <f t="shared" si="39"/>
        <v>3</v>
      </c>
      <c r="M582" s="5" t="str">
        <f t="shared" si="36"/>
        <v/>
      </c>
      <c r="N582" s="5" t="s">
        <v>3365</v>
      </c>
      <c r="O582" s="5"/>
      <c r="P582" s="5" t="s">
        <v>3621</v>
      </c>
      <c r="Q582" s="5"/>
    </row>
    <row r="583" spans="1:17">
      <c r="A583" s="9">
        <v>46181</v>
      </c>
      <c r="B583" s="5" t="s">
        <v>15</v>
      </c>
      <c r="C583" s="5" t="s">
        <v>33</v>
      </c>
      <c r="D583" s="5" t="s">
        <v>62</v>
      </c>
      <c r="E583" s="5" t="s">
        <v>2818</v>
      </c>
      <c r="F583" s="5">
        <f t="shared" si="37"/>
        <v>33</v>
      </c>
      <c r="G583" s="5" t="s">
        <v>19</v>
      </c>
      <c r="H583" s="5" t="s">
        <v>45</v>
      </c>
      <c r="I583" s="5" t="s">
        <v>28</v>
      </c>
      <c r="J583" s="5" t="s">
        <v>28</v>
      </c>
      <c r="K583" s="5">
        <f t="shared" si="38"/>
        <v>4</v>
      </c>
      <c r="L583" s="5">
        <f t="shared" si="39"/>
        <v>4</v>
      </c>
      <c r="M583" s="5" t="str">
        <f t="shared" si="36"/>
        <v/>
      </c>
      <c r="N583" s="5" t="s">
        <v>2277</v>
      </c>
      <c r="O583" s="5" t="s">
        <v>2278</v>
      </c>
      <c r="P583" s="5" t="s">
        <v>2279</v>
      </c>
      <c r="Q583" s="5"/>
    </row>
    <row r="584" spans="1:17">
      <c r="A584" s="9">
        <v>46181</v>
      </c>
      <c r="B584" s="5" t="s">
        <v>25</v>
      </c>
      <c r="C584" s="5" t="s">
        <v>3380</v>
      </c>
      <c r="D584" s="5" t="s">
        <v>25</v>
      </c>
      <c r="E584" s="5" t="s">
        <v>3366</v>
      </c>
      <c r="F584" s="5">
        <f t="shared" si="37"/>
        <v>36</v>
      </c>
      <c r="G584" s="5" t="s">
        <v>19</v>
      </c>
      <c r="H584" s="5" t="s">
        <v>20</v>
      </c>
      <c r="I584" s="5" t="s">
        <v>21</v>
      </c>
      <c r="J584" s="5" t="s">
        <v>21</v>
      </c>
      <c r="K584" s="5">
        <f t="shared" si="38"/>
        <v>3</v>
      </c>
      <c r="L584" s="5">
        <f t="shared" si="39"/>
        <v>3</v>
      </c>
      <c r="M584" s="5" t="str">
        <f t="shared" si="36"/>
        <v/>
      </c>
      <c r="N584" s="5" t="s">
        <v>3367</v>
      </c>
      <c r="O584" s="5" t="s">
        <v>513</v>
      </c>
      <c r="P584" s="5" t="s">
        <v>3368</v>
      </c>
      <c r="Q584" s="5"/>
    </row>
    <row r="585" spans="1:17">
      <c r="A585" s="9">
        <v>46181</v>
      </c>
      <c r="B585" s="5" t="s">
        <v>15</v>
      </c>
      <c r="C585" s="5" t="s">
        <v>33</v>
      </c>
      <c r="D585" s="5" t="s">
        <v>62</v>
      </c>
      <c r="E585" s="5" t="s">
        <v>2749</v>
      </c>
      <c r="F585" s="5">
        <f t="shared" si="37"/>
        <v>38</v>
      </c>
      <c r="G585" s="5" t="s">
        <v>19</v>
      </c>
      <c r="H585" s="5" t="s">
        <v>45</v>
      </c>
      <c r="I585" s="5" t="s">
        <v>21</v>
      </c>
      <c r="J585" s="5" t="s">
        <v>21</v>
      </c>
      <c r="K585" s="5">
        <f t="shared" si="38"/>
        <v>3</v>
      </c>
      <c r="L585" s="5">
        <f t="shared" si="39"/>
        <v>3</v>
      </c>
      <c r="M585" s="5" t="str">
        <f t="shared" si="36"/>
        <v/>
      </c>
      <c r="N585" s="5" t="s">
        <v>3369</v>
      </c>
      <c r="O585" s="5" t="s">
        <v>1343</v>
      </c>
      <c r="P585" s="5" t="s">
        <v>100</v>
      </c>
      <c r="Q585" s="5"/>
    </row>
    <row r="586" spans="1:17">
      <c r="A586" s="9">
        <v>46181</v>
      </c>
      <c r="B586" s="5" t="s">
        <v>15</v>
      </c>
      <c r="C586" s="5" t="s">
        <v>33</v>
      </c>
      <c r="D586" s="4" t="s">
        <v>62</v>
      </c>
      <c r="E586" s="5" t="s">
        <v>2750</v>
      </c>
      <c r="F586" s="5">
        <f t="shared" si="37"/>
        <v>32</v>
      </c>
      <c r="G586" s="5" t="s">
        <v>19</v>
      </c>
      <c r="H586" s="5" t="s">
        <v>20</v>
      </c>
      <c r="I586" s="5" t="s">
        <v>28</v>
      </c>
      <c r="J586" s="5" t="s">
        <v>28</v>
      </c>
      <c r="K586" s="5">
        <f t="shared" si="38"/>
        <v>4</v>
      </c>
      <c r="L586" s="5">
        <f t="shared" si="39"/>
        <v>4</v>
      </c>
      <c r="M586" s="5" t="str">
        <f t="shared" si="36"/>
        <v/>
      </c>
      <c r="N586" s="5" t="s">
        <v>2286</v>
      </c>
      <c r="O586" s="5" t="s">
        <v>1529</v>
      </c>
      <c r="P586" s="5" t="s">
        <v>2287</v>
      </c>
      <c r="Q586" s="5" t="s">
        <v>100</v>
      </c>
    </row>
    <row r="587" spans="1:17">
      <c r="A587" s="9">
        <v>46181</v>
      </c>
      <c r="B587" s="5" t="s">
        <v>15</v>
      </c>
      <c r="C587" s="5" t="s">
        <v>39</v>
      </c>
      <c r="D587" s="5" t="s">
        <v>3383</v>
      </c>
      <c r="E587" s="5" t="s">
        <v>2751</v>
      </c>
      <c r="F587" s="5">
        <f t="shared" si="37"/>
        <v>32</v>
      </c>
      <c r="G587" s="5" t="s">
        <v>19</v>
      </c>
      <c r="H587" s="5" t="s">
        <v>20</v>
      </c>
      <c r="I587" s="5" t="s">
        <v>28</v>
      </c>
      <c r="J587" s="5" t="s">
        <v>28</v>
      </c>
      <c r="K587" s="5">
        <f t="shared" si="38"/>
        <v>4</v>
      </c>
      <c r="L587" s="5">
        <f t="shared" si="39"/>
        <v>4</v>
      </c>
      <c r="M587" s="5" t="str">
        <f t="shared" si="36"/>
        <v/>
      </c>
      <c r="N587" s="5" t="s">
        <v>3370</v>
      </c>
      <c r="O587" s="5" t="s">
        <v>3371</v>
      </c>
      <c r="P587" s="5" t="s">
        <v>3372</v>
      </c>
      <c r="Q587" s="5"/>
    </row>
    <row r="588" spans="1:17">
      <c r="A588" s="9">
        <v>46181</v>
      </c>
      <c r="B588" s="5" t="s">
        <v>15</v>
      </c>
      <c r="C588" s="5" t="s">
        <v>33</v>
      </c>
      <c r="D588" s="5" t="s">
        <v>62</v>
      </c>
      <c r="E588" s="5" t="s">
        <v>2752</v>
      </c>
      <c r="F588" s="5">
        <f t="shared" si="37"/>
        <v>26</v>
      </c>
      <c r="G588" s="5" t="s">
        <v>19</v>
      </c>
      <c r="H588" s="5" t="s">
        <v>20</v>
      </c>
      <c r="I588" s="5" t="s">
        <v>21</v>
      </c>
      <c r="J588" s="5" t="s">
        <v>21</v>
      </c>
      <c r="K588" s="5">
        <f t="shared" si="38"/>
        <v>3</v>
      </c>
      <c r="L588" s="5">
        <f t="shared" si="39"/>
        <v>3</v>
      </c>
      <c r="M588" s="5" t="str">
        <f t="shared" si="36"/>
        <v/>
      </c>
      <c r="N588" s="5" t="s">
        <v>3373</v>
      </c>
      <c r="O588" s="5" t="s">
        <v>3622</v>
      </c>
      <c r="P588" s="5" t="s">
        <v>3374</v>
      </c>
      <c r="Q588" s="5"/>
    </row>
    <row r="589" spans="1:17">
      <c r="A589" s="9">
        <v>46181</v>
      </c>
      <c r="B589" s="5" t="s">
        <v>15</v>
      </c>
      <c r="C589" s="5" t="s">
        <v>33</v>
      </c>
      <c r="D589" s="5" t="s">
        <v>62</v>
      </c>
      <c r="E589" s="5" t="s">
        <v>2753</v>
      </c>
      <c r="F589" s="5">
        <f t="shared" si="37"/>
        <v>28</v>
      </c>
      <c r="G589" s="5" t="s">
        <v>19</v>
      </c>
      <c r="H589" s="5" t="s">
        <v>20</v>
      </c>
      <c r="I589" s="5" t="s">
        <v>21</v>
      </c>
      <c r="J589" s="5" t="s">
        <v>21</v>
      </c>
      <c r="K589" s="5">
        <f t="shared" si="38"/>
        <v>3</v>
      </c>
      <c r="L589" s="5">
        <f t="shared" si="39"/>
        <v>3</v>
      </c>
      <c r="M589" s="5" t="str">
        <f t="shared" si="36"/>
        <v/>
      </c>
      <c r="N589" s="5" t="s">
        <v>3426</v>
      </c>
      <c r="O589" s="5" t="s">
        <v>3375</v>
      </c>
      <c r="P589" s="5" t="s">
        <v>3376</v>
      </c>
      <c r="Q589" s="5"/>
    </row>
    <row r="590" spans="1:17">
      <c r="A590" s="9">
        <v>46181</v>
      </c>
      <c r="B590" s="5" t="s">
        <v>15</v>
      </c>
      <c r="C590" s="5" t="s">
        <v>33</v>
      </c>
      <c r="D590" s="5" t="s">
        <v>62</v>
      </c>
      <c r="E590" s="5" t="s">
        <v>2754</v>
      </c>
      <c r="F590" s="5">
        <f t="shared" si="37"/>
        <v>29</v>
      </c>
      <c r="G590" s="5" t="s">
        <v>19</v>
      </c>
      <c r="H590" s="5" t="s">
        <v>20</v>
      </c>
      <c r="I590" s="5" t="s">
        <v>21</v>
      </c>
      <c r="J590" s="5" t="s">
        <v>21</v>
      </c>
      <c r="K590" s="5">
        <f t="shared" si="38"/>
        <v>3</v>
      </c>
      <c r="L590" s="5">
        <f t="shared" si="39"/>
        <v>3</v>
      </c>
      <c r="M590" s="5" t="str">
        <f t="shared" si="36"/>
        <v/>
      </c>
      <c r="N590" s="5" t="s">
        <v>3377</v>
      </c>
      <c r="O590" s="5" t="s">
        <v>3378</v>
      </c>
      <c r="P590" s="5" t="s">
        <v>3379</v>
      </c>
      <c r="Q590" s="5" t="s">
        <v>2304</v>
      </c>
    </row>
    <row r="592" spans="1:17">
      <c r="B592">
        <f>COUNTBLANK(B1:B590)</f>
        <v>0</v>
      </c>
      <c r="C592">
        <f>COUNTBLANK(C1:C590)</f>
        <v>0</v>
      </c>
      <c r="D592">
        <f>COUNTBLANK(D1:D590)</f>
        <v>1</v>
      </c>
      <c r="E592">
        <f>COUNTBLANK(E1:E590)</f>
        <v>0</v>
      </c>
      <c r="F592" s="4">
        <f>MIN(F2:F590)</f>
        <v>5</v>
      </c>
      <c r="G592">
        <f>COUNTBLANK(G1:G590)</f>
        <v>0</v>
      </c>
      <c r="J592">
        <f>COUNTBLANK(J1:J590)</f>
        <v>0</v>
      </c>
      <c r="M592" s="4"/>
      <c r="N592">
        <f>COUNTBLANK(N1:N590)</f>
        <v>0</v>
      </c>
      <c r="P592">
        <f>COUNTBLANK(P1:P590)</f>
        <v>94</v>
      </c>
    </row>
  </sheetData>
  <autoFilter ref="A1:Q590" xr:uid="{4ED4D95E-905F-4F2C-9E86-BD09A0D7560D}"/>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66FF9-A127-4B93-AEF0-DD915098D87A}">
  <dimension ref="E3:V34"/>
  <sheetViews>
    <sheetView topLeftCell="A23" zoomScaleNormal="100" workbookViewId="0">
      <selection activeCell="B17" sqref="B17"/>
    </sheetView>
  </sheetViews>
  <sheetFormatPr defaultRowHeight="15"/>
  <cols>
    <col min="5" max="5" width="13.140625" bestFit="1" customWidth="1"/>
    <col min="6" max="6" width="23.28515625" bestFit="1" customWidth="1"/>
    <col min="7" max="7" width="10.42578125" bestFit="1" customWidth="1"/>
    <col min="8" max="8" width="5.140625" bestFit="1" customWidth="1"/>
    <col min="9" max="9" width="9.7109375" bestFit="1" customWidth="1"/>
    <col min="10" max="10" width="11.28515625" bestFit="1" customWidth="1"/>
    <col min="12" max="12" width="15.42578125" bestFit="1" customWidth="1"/>
    <col min="13" max="13" width="16.28515625" bestFit="1" customWidth="1"/>
    <col min="14" max="14" width="4.140625" bestFit="1" customWidth="1"/>
    <col min="15" max="15" width="11.28515625" bestFit="1" customWidth="1"/>
    <col min="17" max="17" width="13.140625" bestFit="1" customWidth="1"/>
    <col min="18" max="18" width="17.5703125" bestFit="1" customWidth="1"/>
    <col min="19" max="19" width="19.7109375" bestFit="1" customWidth="1"/>
    <col min="20" max="20" width="10.42578125" bestFit="1" customWidth="1"/>
    <col min="21" max="21" width="9.7109375" bestFit="1" customWidth="1"/>
    <col min="22" max="22" width="11.28515625" bestFit="1" customWidth="1"/>
  </cols>
  <sheetData>
    <row r="3" spans="5:22">
      <c r="E3" s="11" t="s">
        <v>3633</v>
      </c>
      <c r="F3" s="11" t="s">
        <v>3632</v>
      </c>
      <c r="L3" s="11" t="s">
        <v>3633</v>
      </c>
      <c r="M3" s="11" t="s">
        <v>3632</v>
      </c>
      <c r="Q3" s="11" t="s">
        <v>3633</v>
      </c>
      <c r="R3" s="11" t="s">
        <v>3632</v>
      </c>
    </row>
    <row r="4" spans="5:22">
      <c r="E4" s="11" t="s">
        <v>3630</v>
      </c>
      <c r="F4" t="s">
        <v>21</v>
      </c>
      <c r="G4" t="s">
        <v>28</v>
      </c>
      <c r="H4" t="s">
        <v>186</v>
      </c>
      <c r="I4" t="s">
        <v>604</v>
      </c>
      <c r="J4" t="s">
        <v>3631</v>
      </c>
      <c r="L4" s="11" t="s">
        <v>3630</v>
      </c>
      <c r="M4" t="s">
        <v>45</v>
      </c>
      <c r="N4" t="s">
        <v>20</v>
      </c>
      <c r="O4" t="s">
        <v>3631</v>
      </c>
      <c r="Q4" s="11" t="s">
        <v>3630</v>
      </c>
      <c r="R4" t="s">
        <v>21</v>
      </c>
      <c r="S4" t="s">
        <v>186</v>
      </c>
      <c r="T4" t="s">
        <v>28</v>
      </c>
      <c r="U4" t="s">
        <v>604</v>
      </c>
      <c r="V4" t="s">
        <v>3631</v>
      </c>
    </row>
    <row r="5" spans="5:22">
      <c r="E5" s="12" t="s">
        <v>2141</v>
      </c>
      <c r="F5" s="31">
        <v>2</v>
      </c>
      <c r="G5" s="31">
        <v>1</v>
      </c>
      <c r="H5" s="31"/>
      <c r="I5" s="31"/>
      <c r="J5" s="31">
        <v>3</v>
      </c>
      <c r="L5" s="12" t="s">
        <v>3635</v>
      </c>
      <c r="M5" s="31">
        <v>2</v>
      </c>
      <c r="N5" s="31">
        <v>1</v>
      </c>
      <c r="O5" s="31">
        <v>3</v>
      </c>
      <c r="Q5" s="12" t="s">
        <v>19</v>
      </c>
      <c r="R5" s="31">
        <v>233</v>
      </c>
      <c r="S5" s="31">
        <v>5</v>
      </c>
      <c r="T5" s="31">
        <v>188</v>
      </c>
      <c r="U5" s="31">
        <v>2</v>
      </c>
      <c r="V5" s="31">
        <v>428</v>
      </c>
    </row>
    <row r="6" spans="5:22">
      <c r="E6" s="12" t="s">
        <v>960</v>
      </c>
      <c r="F6" s="31">
        <v>3</v>
      </c>
      <c r="G6" s="31">
        <v>1</v>
      </c>
      <c r="H6" s="31"/>
      <c r="I6" s="31"/>
      <c r="J6" s="31">
        <v>4</v>
      </c>
      <c r="L6" s="12" t="s">
        <v>3384</v>
      </c>
      <c r="M6" s="31">
        <v>25</v>
      </c>
      <c r="N6" s="31">
        <v>1</v>
      </c>
      <c r="O6" s="31">
        <v>26</v>
      </c>
      <c r="Q6" s="12" t="s">
        <v>1034</v>
      </c>
      <c r="R6" s="31">
        <v>51</v>
      </c>
      <c r="S6" s="31">
        <v>1</v>
      </c>
      <c r="T6" s="31">
        <v>22</v>
      </c>
      <c r="U6" s="31">
        <v>1</v>
      </c>
      <c r="V6" s="31">
        <v>75</v>
      </c>
    </row>
    <row r="7" spans="5:22">
      <c r="E7" s="12" t="s">
        <v>49</v>
      </c>
      <c r="F7" s="31">
        <v>4</v>
      </c>
      <c r="G7" s="31">
        <v>2</v>
      </c>
      <c r="H7" s="31"/>
      <c r="I7" s="31"/>
      <c r="J7" s="31">
        <v>6</v>
      </c>
      <c r="L7" s="12" t="s">
        <v>3389</v>
      </c>
      <c r="M7" s="31">
        <v>18</v>
      </c>
      <c r="N7" s="31">
        <v>11</v>
      </c>
      <c r="O7" s="31">
        <v>29</v>
      </c>
      <c r="Q7" s="12" t="s">
        <v>981</v>
      </c>
      <c r="R7" s="31">
        <v>37</v>
      </c>
      <c r="S7" s="31">
        <v>2</v>
      </c>
      <c r="T7" s="31">
        <v>10</v>
      </c>
      <c r="U7" s="31">
        <v>1</v>
      </c>
      <c r="V7" s="31">
        <v>50</v>
      </c>
    </row>
    <row r="8" spans="5:22">
      <c r="E8" s="12" t="s">
        <v>1073</v>
      </c>
      <c r="F8" s="31">
        <v>8</v>
      </c>
      <c r="G8" s="31">
        <v>3</v>
      </c>
      <c r="H8" s="31">
        <v>2</v>
      </c>
      <c r="I8" s="31"/>
      <c r="J8" s="31">
        <v>13</v>
      </c>
      <c r="L8" s="12" t="s">
        <v>112</v>
      </c>
      <c r="M8" s="31">
        <v>11</v>
      </c>
      <c r="N8" s="31">
        <v>12</v>
      </c>
      <c r="O8" s="31">
        <v>23</v>
      </c>
      <c r="Q8" s="12" t="s">
        <v>107</v>
      </c>
      <c r="R8" s="31">
        <v>27</v>
      </c>
      <c r="S8" s="31"/>
      <c r="T8" s="31">
        <v>8</v>
      </c>
      <c r="U8" s="31">
        <v>1</v>
      </c>
      <c r="V8" s="31">
        <v>36</v>
      </c>
    </row>
    <row r="9" spans="5:22">
      <c r="E9" s="12" t="s">
        <v>25</v>
      </c>
      <c r="F9" s="31">
        <v>10</v>
      </c>
      <c r="G9" s="31">
        <v>11</v>
      </c>
      <c r="H9" s="31"/>
      <c r="I9" s="31"/>
      <c r="J9" s="31">
        <v>21</v>
      </c>
      <c r="L9" s="12" t="s">
        <v>3409</v>
      </c>
      <c r="M9" s="31"/>
      <c r="N9" s="31">
        <v>13</v>
      </c>
      <c r="O9" s="31">
        <v>13</v>
      </c>
      <c r="Q9" s="12" t="s">
        <v>3631</v>
      </c>
      <c r="R9" s="31">
        <v>348</v>
      </c>
      <c r="S9" s="31">
        <v>8</v>
      </c>
      <c r="T9" s="31">
        <v>228</v>
      </c>
      <c r="U9" s="31">
        <v>5</v>
      </c>
      <c r="V9" s="31">
        <v>589</v>
      </c>
    </row>
    <row r="10" spans="5:22">
      <c r="E10" s="12" t="s">
        <v>111</v>
      </c>
      <c r="F10" s="31">
        <v>11</v>
      </c>
      <c r="G10" s="31">
        <v>12</v>
      </c>
      <c r="H10" s="31"/>
      <c r="I10" s="31"/>
      <c r="J10" s="31">
        <v>23</v>
      </c>
      <c r="L10" s="12" t="s">
        <v>3380</v>
      </c>
      <c r="M10" s="31">
        <v>8</v>
      </c>
      <c r="N10" s="31">
        <v>13</v>
      </c>
      <c r="O10" s="31">
        <v>21</v>
      </c>
    </row>
    <row r="11" spans="5:22">
      <c r="E11" s="12" t="s">
        <v>72</v>
      </c>
      <c r="F11" s="31">
        <v>13</v>
      </c>
      <c r="G11" s="31">
        <v>13</v>
      </c>
      <c r="H11" s="31"/>
      <c r="I11" s="31"/>
      <c r="J11" s="31">
        <v>26</v>
      </c>
      <c r="L11" s="12" t="s">
        <v>39</v>
      </c>
      <c r="M11" s="31">
        <v>16</v>
      </c>
      <c r="N11" s="31">
        <v>19</v>
      </c>
      <c r="O11" s="31">
        <v>35</v>
      </c>
    </row>
    <row r="12" spans="5:22">
      <c r="E12" s="12" t="s">
        <v>150</v>
      </c>
      <c r="F12" s="31">
        <v>16</v>
      </c>
      <c r="G12" s="31">
        <v>13</v>
      </c>
      <c r="H12" s="31"/>
      <c r="I12" s="31"/>
      <c r="J12" s="31">
        <v>29</v>
      </c>
      <c r="L12" s="12" t="s">
        <v>3406</v>
      </c>
      <c r="M12" s="31">
        <v>21</v>
      </c>
      <c r="N12" s="31">
        <v>25</v>
      </c>
      <c r="O12" s="31">
        <v>46</v>
      </c>
    </row>
    <row r="13" spans="5:22">
      <c r="E13" s="12" t="s">
        <v>3405</v>
      </c>
      <c r="F13" s="31">
        <v>31</v>
      </c>
      <c r="G13" s="31">
        <v>15</v>
      </c>
      <c r="H13" s="31"/>
      <c r="I13" s="31"/>
      <c r="J13" s="31">
        <v>46</v>
      </c>
      <c r="L13" s="12" t="s">
        <v>33</v>
      </c>
      <c r="M13" s="31">
        <v>14</v>
      </c>
      <c r="N13" s="31">
        <v>35</v>
      </c>
      <c r="O13" s="31">
        <v>49</v>
      </c>
    </row>
    <row r="14" spans="5:22">
      <c r="E14" s="12" t="s">
        <v>1030</v>
      </c>
      <c r="F14" s="31">
        <v>47</v>
      </c>
      <c r="G14" s="31">
        <v>11</v>
      </c>
      <c r="H14" s="31">
        <v>1</v>
      </c>
      <c r="I14" s="31">
        <v>2</v>
      </c>
      <c r="J14" s="31">
        <v>61</v>
      </c>
      <c r="L14" s="12" t="s">
        <v>3408</v>
      </c>
      <c r="M14" s="31">
        <v>6</v>
      </c>
      <c r="N14" s="31">
        <v>55</v>
      </c>
      <c r="O14" s="31">
        <v>61</v>
      </c>
      <c r="Q14" s="11" t="s">
        <v>3630</v>
      </c>
      <c r="R14" t="s">
        <v>3659</v>
      </c>
      <c r="S14" t="s">
        <v>3658</v>
      </c>
    </row>
    <row r="15" spans="5:22">
      <c r="E15" s="12" t="s">
        <v>15</v>
      </c>
      <c r="F15" s="31">
        <v>96</v>
      </c>
      <c r="G15" s="31">
        <v>69</v>
      </c>
      <c r="H15" s="31">
        <v>1</v>
      </c>
      <c r="I15" s="31">
        <v>1</v>
      </c>
      <c r="J15" s="31">
        <v>167</v>
      </c>
      <c r="L15" s="12" t="s">
        <v>16</v>
      </c>
      <c r="M15" s="31">
        <v>13</v>
      </c>
      <c r="N15" s="31">
        <v>70</v>
      </c>
      <c r="O15" s="31">
        <v>83</v>
      </c>
      <c r="Q15" s="12">
        <v>4</v>
      </c>
      <c r="R15" s="31">
        <v>1128</v>
      </c>
      <c r="S15" s="31">
        <v>1040</v>
      </c>
    </row>
    <row r="16" spans="5:22">
      <c r="E16" s="12" t="s">
        <v>81</v>
      </c>
      <c r="F16" s="31">
        <v>107</v>
      </c>
      <c r="G16" s="31">
        <v>77</v>
      </c>
      <c r="H16" s="31">
        <v>4</v>
      </c>
      <c r="I16" s="31">
        <v>2</v>
      </c>
      <c r="J16" s="31">
        <v>190</v>
      </c>
      <c r="L16" s="12" t="s">
        <v>50</v>
      </c>
      <c r="M16" s="31">
        <v>13</v>
      </c>
      <c r="N16" s="31">
        <v>77</v>
      </c>
      <c r="O16" s="31">
        <v>90</v>
      </c>
      <c r="Q16" s="12">
        <v>3</v>
      </c>
      <c r="R16" s="31">
        <v>888</v>
      </c>
      <c r="S16" s="31">
        <v>913</v>
      </c>
    </row>
    <row r="17" spans="5:19">
      <c r="E17" s="12" t="s">
        <v>3631</v>
      </c>
      <c r="F17" s="31">
        <v>348</v>
      </c>
      <c r="G17" s="31">
        <v>228</v>
      </c>
      <c r="H17" s="31">
        <v>8</v>
      </c>
      <c r="I17" s="31">
        <v>5</v>
      </c>
      <c r="J17" s="31">
        <v>589</v>
      </c>
      <c r="L17" s="12" t="s">
        <v>82</v>
      </c>
      <c r="M17" s="31">
        <v>5</v>
      </c>
      <c r="N17" s="31">
        <v>105</v>
      </c>
      <c r="O17" s="31">
        <v>110</v>
      </c>
      <c r="Q17" s="12">
        <v>2</v>
      </c>
      <c r="R17" s="31">
        <v>14</v>
      </c>
      <c r="S17" s="31">
        <v>18</v>
      </c>
    </row>
    <row r="18" spans="5:19">
      <c r="L18" s="12" t="s">
        <v>3631</v>
      </c>
      <c r="M18" s="31">
        <v>152</v>
      </c>
      <c r="N18" s="31">
        <v>437</v>
      </c>
      <c r="O18" s="31">
        <v>589</v>
      </c>
      <c r="Q18" s="12">
        <v>1</v>
      </c>
      <c r="R18" s="31">
        <v>4</v>
      </c>
      <c r="S18" s="31">
        <v>6</v>
      </c>
    </row>
    <row r="19" spans="5:19">
      <c r="Q19" s="12" t="s">
        <v>3631</v>
      </c>
      <c r="R19" s="31">
        <v>2034</v>
      </c>
      <c r="S19" s="31">
        <v>1977</v>
      </c>
    </row>
    <row r="20" spans="5:19">
      <c r="E20" s="11" t="s">
        <v>3630</v>
      </c>
      <c r="F20" t="s">
        <v>3644</v>
      </c>
      <c r="L20" s="11" t="s">
        <v>3633</v>
      </c>
      <c r="M20" s="11" t="s">
        <v>3632</v>
      </c>
    </row>
    <row r="21" spans="5:19">
      <c r="E21" s="12" t="s">
        <v>1073</v>
      </c>
      <c r="F21" s="13">
        <v>3.0769230769230771</v>
      </c>
      <c r="L21" s="11" t="s">
        <v>3630</v>
      </c>
      <c r="N21" t="s">
        <v>3645</v>
      </c>
      <c r="O21" t="s">
        <v>3631</v>
      </c>
    </row>
    <row r="22" spans="5:19">
      <c r="E22" s="12" t="s">
        <v>1030</v>
      </c>
      <c r="F22" s="13">
        <v>3.098360655737705</v>
      </c>
      <c r="L22" s="12" t="s">
        <v>150</v>
      </c>
      <c r="M22" s="31">
        <v>29</v>
      </c>
      <c r="N22" s="31"/>
      <c r="O22" s="31">
        <v>29</v>
      </c>
    </row>
    <row r="23" spans="5:19">
      <c r="E23" s="12" t="s">
        <v>960</v>
      </c>
      <c r="F23" s="13">
        <v>3.25</v>
      </c>
      <c r="L23" s="12" t="s">
        <v>49</v>
      </c>
      <c r="M23" s="31">
        <v>6</v>
      </c>
      <c r="N23" s="31"/>
      <c r="O23" s="31">
        <v>6</v>
      </c>
    </row>
    <row r="24" spans="5:19">
      <c r="E24" s="12" t="s">
        <v>3405</v>
      </c>
      <c r="F24" s="13">
        <v>3.3260869565217392</v>
      </c>
      <c r="L24" s="12" t="s">
        <v>72</v>
      </c>
      <c r="M24" s="31">
        <v>26</v>
      </c>
      <c r="N24" s="31"/>
      <c r="O24" s="31">
        <v>26</v>
      </c>
    </row>
    <row r="25" spans="5:19">
      <c r="E25" s="12" t="s">
        <v>49</v>
      </c>
      <c r="F25" s="13">
        <v>3.3333333333333335</v>
      </c>
      <c r="L25" s="12" t="s">
        <v>15</v>
      </c>
      <c r="M25" s="31">
        <v>165</v>
      </c>
      <c r="N25" s="31">
        <v>2</v>
      </c>
      <c r="O25" s="31">
        <v>167</v>
      </c>
    </row>
    <row r="26" spans="5:19">
      <c r="E26" s="12" t="s">
        <v>2141</v>
      </c>
      <c r="F26" s="13">
        <v>3.3333333333333335</v>
      </c>
      <c r="L26" s="12" t="s">
        <v>25</v>
      </c>
      <c r="M26" s="31">
        <v>21</v>
      </c>
      <c r="N26" s="31"/>
      <c r="O26" s="31">
        <v>21</v>
      </c>
    </row>
    <row r="27" spans="5:19">
      <c r="E27" s="12" t="s">
        <v>81</v>
      </c>
      <c r="F27" s="13">
        <v>3.3631578947368421</v>
      </c>
      <c r="L27" s="12" t="s">
        <v>960</v>
      </c>
      <c r="M27" s="31">
        <v>4</v>
      </c>
      <c r="N27" s="31"/>
      <c r="O27" s="31">
        <v>4</v>
      </c>
    </row>
    <row r="28" spans="5:19">
      <c r="E28" s="12" t="s">
        <v>15</v>
      </c>
      <c r="F28" s="13">
        <v>3.3952095808383231</v>
      </c>
      <c r="L28" s="12" t="s">
        <v>111</v>
      </c>
      <c r="M28" s="31">
        <v>23</v>
      </c>
      <c r="N28" s="31"/>
      <c r="O28" s="31">
        <v>23</v>
      </c>
    </row>
    <row r="29" spans="5:19">
      <c r="E29" s="12" t="s">
        <v>150</v>
      </c>
      <c r="F29" s="13">
        <v>3.4482758620689653</v>
      </c>
      <c r="L29" s="12" t="s">
        <v>1030</v>
      </c>
      <c r="M29" s="31">
        <v>58</v>
      </c>
      <c r="N29" s="31">
        <v>3</v>
      </c>
      <c r="O29" s="31">
        <v>61</v>
      </c>
    </row>
    <row r="30" spans="5:19">
      <c r="E30" s="12" t="s">
        <v>72</v>
      </c>
      <c r="F30" s="13">
        <v>3.5</v>
      </c>
      <c r="L30" s="12" t="s">
        <v>81</v>
      </c>
      <c r="M30" s="31">
        <v>184</v>
      </c>
      <c r="N30" s="31">
        <v>6</v>
      </c>
      <c r="O30" s="31">
        <v>190</v>
      </c>
    </row>
    <row r="31" spans="5:19">
      <c r="E31" s="12" t="s">
        <v>111</v>
      </c>
      <c r="F31" s="13">
        <v>3.5217391304347827</v>
      </c>
      <c r="L31" s="12" t="s">
        <v>2141</v>
      </c>
      <c r="M31" s="31">
        <v>3</v>
      </c>
      <c r="N31" s="31"/>
      <c r="O31" s="31">
        <v>3</v>
      </c>
    </row>
    <row r="32" spans="5:19">
      <c r="E32" s="12" t="s">
        <v>25</v>
      </c>
      <c r="F32" s="13">
        <v>3.5238095238095237</v>
      </c>
      <c r="L32" s="12" t="s">
        <v>1073</v>
      </c>
      <c r="M32" s="31">
        <v>11</v>
      </c>
      <c r="N32" s="31">
        <v>2</v>
      </c>
      <c r="O32" s="31">
        <v>13</v>
      </c>
    </row>
    <row r="33" spans="5:15">
      <c r="E33" s="12" t="s">
        <v>3631</v>
      </c>
      <c r="F33" s="13">
        <v>3.3565365025466893</v>
      </c>
      <c r="L33" s="12" t="s">
        <v>3405</v>
      </c>
      <c r="M33" s="31">
        <v>46</v>
      </c>
      <c r="N33" s="31"/>
      <c r="O33" s="31">
        <v>46</v>
      </c>
    </row>
    <row r="34" spans="5:15">
      <c r="L34" s="12" t="s">
        <v>3631</v>
      </c>
      <c r="M34" s="31">
        <v>576</v>
      </c>
      <c r="N34" s="31">
        <v>13</v>
      </c>
      <c r="O34" s="31">
        <v>589</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B56AF-7D60-4FB0-B740-A508986F0F94}">
  <sheetPr>
    <pageSetUpPr fitToPage="1"/>
  </sheetPr>
  <dimension ref="B1:S51"/>
  <sheetViews>
    <sheetView showGridLines="0" zoomScale="95" zoomScaleNormal="95" workbookViewId="0">
      <selection sqref="A1:AA69"/>
    </sheetView>
  </sheetViews>
  <sheetFormatPr defaultRowHeight="15"/>
  <cols>
    <col min="3" max="3" width="9.140625" customWidth="1"/>
    <col min="6" max="6" width="17.85546875" bestFit="1" customWidth="1"/>
    <col min="11" max="11" width="14.42578125" customWidth="1"/>
    <col min="12" max="12" width="9.140625" customWidth="1"/>
  </cols>
  <sheetData>
    <row r="1" spans="2:19" ht="26.25">
      <c r="B1" s="35"/>
      <c r="C1" s="35"/>
      <c r="D1" s="35"/>
      <c r="E1" s="35"/>
      <c r="F1" s="35"/>
      <c r="G1" s="35"/>
      <c r="H1" s="35"/>
      <c r="I1" s="35"/>
      <c r="J1" s="35"/>
      <c r="K1" s="35"/>
      <c r="L1" s="35"/>
      <c r="M1" s="35"/>
      <c r="N1" s="35"/>
      <c r="O1" s="35"/>
      <c r="P1" s="35"/>
      <c r="Q1" s="35"/>
    </row>
    <row r="2" spans="2:19" ht="26.25">
      <c r="B2" s="36" t="s">
        <v>3660</v>
      </c>
      <c r="C2" s="36"/>
      <c r="D2" s="36"/>
      <c r="E2" s="36"/>
      <c r="F2" s="36"/>
      <c r="G2" s="36"/>
      <c r="H2" s="36"/>
      <c r="I2" s="36"/>
      <c r="J2" s="36"/>
      <c r="K2" s="36"/>
      <c r="L2" s="36"/>
      <c r="M2" s="36"/>
      <c r="N2" s="36"/>
      <c r="O2" s="36"/>
      <c r="P2" s="36"/>
      <c r="Q2" s="36"/>
      <c r="R2" s="34"/>
      <c r="S2" s="34"/>
    </row>
    <row r="3" spans="2:19" ht="26.25">
      <c r="B3" s="36" t="s">
        <v>3661</v>
      </c>
      <c r="C3" s="36"/>
      <c r="D3" s="36"/>
      <c r="E3" s="36"/>
      <c r="F3" s="36"/>
      <c r="G3" s="36"/>
      <c r="H3" s="36"/>
      <c r="I3" s="36"/>
      <c r="J3" s="36"/>
      <c r="K3" s="36"/>
      <c r="L3" s="36"/>
      <c r="M3" s="36"/>
      <c r="N3" s="36"/>
      <c r="O3" s="36"/>
      <c r="P3" s="36"/>
      <c r="Q3" s="36"/>
      <c r="R3" s="34"/>
      <c r="S3" s="34"/>
    </row>
    <row r="4" spans="2:19">
      <c r="B4" s="34"/>
      <c r="C4" s="33"/>
      <c r="D4" s="33"/>
      <c r="E4" s="33"/>
      <c r="F4" s="33"/>
      <c r="G4" s="33"/>
      <c r="H4" s="33"/>
      <c r="I4" s="34"/>
      <c r="J4" s="34"/>
      <c r="K4" s="34"/>
      <c r="L4" s="34"/>
      <c r="M4" s="34"/>
      <c r="N4" s="34"/>
      <c r="O4" s="34"/>
      <c r="P4" s="34"/>
      <c r="Q4" s="34"/>
      <c r="R4" s="34"/>
      <c r="S4" s="34"/>
    </row>
    <row r="5" spans="2:19">
      <c r="B5" s="34"/>
      <c r="C5" s="33"/>
      <c r="D5" s="33"/>
      <c r="E5" s="33"/>
      <c r="F5" s="33"/>
      <c r="G5" s="33"/>
      <c r="H5" s="33"/>
      <c r="I5" s="34"/>
      <c r="J5" s="34"/>
      <c r="K5" s="34"/>
      <c r="L5" s="34"/>
      <c r="M5" s="34"/>
      <c r="N5" s="34"/>
      <c r="O5" s="34"/>
      <c r="P5" s="34"/>
      <c r="Q5" s="34"/>
      <c r="R5" s="34"/>
      <c r="S5" s="34"/>
    </row>
    <row r="6" spans="2:19">
      <c r="B6" s="34"/>
      <c r="C6" s="33"/>
      <c r="D6" s="33"/>
      <c r="E6" s="33"/>
      <c r="F6" s="33"/>
      <c r="G6" s="33"/>
      <c r="H6" s="33"/>
      <c r="I6" s="34"/>
      <c r="J6" s="34"/>
      <c r="K6" s="34"/>
      <c r="L6" s="34"/>
      <c r="M6" s="34"/>
      <c r="N6" s="34"/>
      <c r="O6" s="34"/>
      <c r="P6" s="34"/>
      <c r="Q6" s="34"/>
      <c r="R6" s="34"/>
      <c r="S6" s="34"/>
    </row>
    <row r="7" spans="2:19">
      <c r="C7" s="14"/>
      <c r="D7" s="14"/>
      <c r="E7" s="14"/>
      <c r="F7" s="14"/>
      <c r="G7" s="14"/>
      <c r="H7" s="14"/>
    </row>
    <row r="8" spans="2:19">
      <c r="C8" s="14"/>
      <c r="D8" s="14"/>
      <c r="E8" s="14"/>
      <c r="F8" s="14"/>
      <c r="G8" s="14"/>
      <c r="H8" s="14"/>
    </row>
    <row r="9" spans="2:19" ht="15" customHeight="1">
      <c r="B9" s="38" t="s">
        <v>3647</v>
      </c>
      <c r="C9" s="39"/>
      <c r="D9" s="40"/>
      <c r="E9" s="14"/>
      <c r="F9" s="44" t="s">
        <v>3648</v>
      </c>
      <c r="G9" s="45"/>
      <c r="H9" s="46"/>
      <c r="I9" s="15"/>
      <c r="J9" s="38" t="s">
        <v>3649</v>
      </c>
      <c r="K9" s="50"/>
      <c r="L9" s="51"/>
      <c r="M9" s="21"/>
      <c r="N9" s="38" t="s">
        <v>3652</v>
      </c>
      <c r="O9" s="50"/>
      <c r="P9" s="51"/>
    </row>
    <row r="10" spans="2:19" ht="15" customHeight="1">
      <c r="B10" s="28">
        <f>GETPIVOTDATA("School ",'Pivot Tables'!$E$3)</f>
        <v>589</v>
      </c>
      <c r="C10" s="16"/>
      <c r="D10" s="19"/>
      <c r="E10" s="14"/>
      <c r="F10" s="27">
        <f>IF(COUNTA('Pivot Tables'!$E$4:$E$16)-2 &gt; 1, 12, 1)</f>
        <v>12</v>
      </c>
      <c r="G10" s="14"/>
      <c r="H10" s="20"/>
      <c r="J10" s="29">
        <f>(GETPIVOTDATA("School ",'Pivot Tables'!$E$3,"How would you rate the overall data collection process?","Very Good")+GETPIVOTDATA("School ",'Pivot Tables'!$E$3,"How would you rate the overall data collection process?","Good"))/GETPIVOTDATA("School ",'Pivot Tables'!$E$3)</f>
        <v>0.97792869269949068</v>
      </c>
      <c r="K10" s="30"/>
      <c r="L10" s="17"/>
      <c r="N10" s="25">
        <f>IFERROR(GETPIVOTDATA("School ",'Pivot Tables'!$L$20,"Follow-up Required","YES"),0)</f>
        <v>13</v>
      </c>
      <c r="P10" s="17"/>
    </row>
    <row r="11" spans="2:19" ht="15" customHeight="1">
      <c r="B11" s="28"/>
      <c r="C11" s="16"/>
      <c r="D11" s="19"/>
      <c r="E11" s="14"/>
      <c r="F11" s="27"/>
      <c r="G11" s="14"/>
      <c r="H11" s="20"/>
      <c r="J11" s="29"/>
      <c r="K11" s="30"/>
      <c r="L11" s="17"/>
      <c r="N11" s="25"/>
      <c r="P11" s="17"/>
    </row>
    <row r="12" spans="2:19">
      <c r="B12" s="18"/>
      <c r="D12" s="17"/>
      <c r="F12" s="18"/>
      <c r="H12" s="17"/>
      <c r="J12" s="18"/>
      <c r="L12" s="17"/>
      <c r="N12" s="18"/>
      <c r="P12" s="17"/>
    </row>
    <row r="13" spans="2:19">
      <c r="B13" s="41" t="s">
        <v>3646</v>
      </c>
      <c r="C13" s="42"/>
      <c r="D13" s="43"/>
      <c r="F13" s="47" t="s">
        <v>3651</v>
      </c>
      <c r="G13" s="48"/>
      <c r="H13" s="49"/>
      <c r="J13" s="47" t="s">
        <v>3650</v>
      </c>
      <c r="K13" s="48"/>
      <c r="L13" s="49"/>
      <c r="N13" s="41" t="s">
        <v>3653</v>
      </c>
      <c r="O13" s="52"/>
      <c r="P13" s="53"/>
    </row>
    <row r="14" spans="2:19">
      <c r="B14" s="26"/>
      <c r="C14" s="26"/>
      <c r="D14" s="26"/>
    </row>
    <row r="16" spans="2:19">
      <c r="B16" s="37" t="s">
        <v>3654</v>
      </c>
      <c r="C16" s="37"/>
      <c r="D16" s="37"/>
      <c r="E16" s="37"/>
      <c r="F16" s="37"/>
      <c r="G16" s="37"/>
      <c r="H16" s="37"/>
      <c r="I16" s="37"/>
      <c r="J16" s="37"/>
      <c r="K16" s="37"/>
      <c r="L16" s="37"/>
      <c r="M16" s="37"/>
      <c r="N16" s="37"/>
      <c r="O16" s="37"/>
      <c r="P16" s="37"/>
      <c r="Q16" s="37"/>
      <c r="R16" s="37"/>
      <c r="S16" s="37"/>
    </row>
    <row r="17" spans="2:19">
      <c r="B17" s="37"/>
      <c r="C17" s="37"/>
      <c r="D17" s="37"/>
      <c r="E17" s="37"/>
      <c r="F17" s="37"/>
      <c r="G17" s="37"/>
      <c r="H17" s="37"/>
      <c r="I17" s="37"/>
      <c r="J17" s="37"/>
      <c r="K17" s="37"/>
      <c r="L17" s="37"/>
      <c r="M17" s="37"/>
      <c r="N17" s="37"/>
      <c r="O17" s="37"/>
      <c r="P17" s="37"/>
      <c r="Q17" s="37"/>
      <c r="R17" s="37"/>
      <c r="S17" s="37"/>
    </row>
    <row r="18" spans="2:19">
      <c r="B18" s="37"/>
      <c r="C18" s="37"/>
      <c r="D18" s="37"/>
      <c r="E18" s="37"/>
      <c r="F18" s="37"/>
      <c r="G18" s="37"/>
      <c r="H18" s="37"/>
      <c r="I18" s="37"/>
      <c r="J18" s="37"/>
      <c r="K18" s="37"/>
      <c r="L18" s="37"/>
      <c r="M18" s="37"/>
      <c r="N18" s="37"/>
      <c r="O18" s="37"/>
      <c r="P18" s="37"/>
      <c r="Q18" s="37"/>
      <c r="R18" s="37"/>
      <c r="S18" s="37"/>
    </row>
    <row r="19" spans="2:19">
      <c r="B19" s="24"/>
      <c r="C19" s="24"/>
      <c r="D19" s="24"/>
      <c r="E19" s="24"/>
      <c r="F19" s="24"/>
      <c r="G19" s="24"/>
      <c r="H19" s="24"/>
      <c r="I19" s="24"/>
      <c r="J19" s="24"/>
      <c r="K19" s="24"/>
      <c r="L19" s="24"/>
      <c r="M19" s="24"/>
      <c r="N19" s="24"/>
      <c r="O19" s="24"/>
      <c r="P19" s="24"/>
    </row>
    <row r="20" spans="2:19">
      <c r="B20" s="24"/>
      <c r="C20" s="24"/>
      <c r="D20" s="24"/>
      <c r="E20" s="24"/>
      <c r="F20" s="24"/>
      <c r="G20" s="24"/>
      <c r="H20" s="24"/>
      <c r="I20" s="24"/>
      <c r="J20" s="24"/>
      <c r="K20" s="24"/>
      <c r="L20" s="24"/>
      <c r="M20" s="24"/>
      <c r="N20" s="24"/>
      <c r="O20" s="24"/>
      <c r="P20" s="24"/>
    </row>
    <row r="21" spans="2:19">
      <c r="B21" s="24"/>
      <c r="C21" s="24"/>
      <c r="D21" s="24"/>
      <c r="E21" s="24"/>
      <c r="F21" s="24"/>
      <c r="G21" s="24"/>
      <c r="H21" s="24"/>
      <c r="I21" s="24"/>
      <c r="J21" s="24"/>
      <c r="K21" s="24"/>
      <c r="L21" s="24"/>
      <c r="M21" s="24"/>
      <c r="N21" s="24"/>
      <c r="O21" s="24"/>
      <c r="P21" s="24"/>
    </row>
    <row r="22" spans="2:19">
      <c r="B22" s="24"/>
      <c r="C22" s="24"/>
      <c r="D22" s="24"/>
      <c r="E22" s="24"/>
      <c r="F22" s="24"/>
      <c r="G22" s="24"/>
      <c r="H22" s="24"/>
      <c r="I22" s="24"/>
      <c r="J22" s="24"/>
      <c r="K22" s="24"/>
      <c r="L22" s="24"/>
      <c r="M22" s="24"/>
      <c r="N22" s="24"/>
      <c r="O22" s="24"/>
      <c r="P22" s="24"/>
    </row>
    <row r="23" spans="2:19">
      <c r="B23" s="24"/>
      <c r="C23" s="24"/>
      <c r="D23" s="24"/>
      <c r="E23" s="24"/>
      <c r="F23" s="24"/>
      <c r="G23" s="24"/>
      <c r="H23" s="24"/>
      <c r="I23" s="24"/>
      <c r="J23" s="24"/>
      <c r="K23" s="24"/>
      <c r="L23" s="24"/>
      <c r="M23" s="24"/>
      <c r="N23" s="24"/>
      <c r="O23" s="24"/>
      <c r="P23" s="24"/>
    </row>
    <row r="24" spans="2:19">
      <c r="B24" s="24"/>
      <c r="C24" s="24"/>
      <c r="D24" s="24"/>
      <c r="E24" s="24"/>
      <c r="F24" s="24"/>
      <c r="G24" s="24"/>
      <c r="H24" s="24"/>
      <c r="I24" s="24"/>
      <c r="J24" s="24"/>
      <c r="K24" s="24"/>
      <c r="L24" s="24"/>
      <c r="M24" s="24"/>
      <c r="N24" s="24"/>
      <c r="O24" s="24"/>
      <c r="P24" s="24"/>
    </row>
    <row r="26" spans="2:19">
      <c r="E26" s="22"/>
    </row>
    <row r="27" spans="2:19">
      <c r="G27" s="23"/>
    </row>
    <row r="37" spans="11:14">
      <c r="K37" s="32" t="s">
        <v>3657</v>
      </c>
      <c r="L37" s="26"/>
      <c r="M37" s="26"/>
      <c r="N37" s="26"/>
    </row>
    <row r="38" spans="11:14">
      <c r="K38" s="26"/>
      <c r="L38" s="26"/>
      <c r="M38" s="26"/>
      <c r="N38" s="26"/>
    </row>
    <row r="39" spans="11:14">
      <c r="K39" t="s">
        <v>1</v>
      </c>
      <c r="L39" t="s">
        <v>3655</v>
      </c>
      <c r="M39" t="s">
        <v>3656</v>
      </c>
    </row>
    <row r="40" spans="11:14">
      <c r="K40" t="str" cm="1">
        <f t="array" ref="K40:K51">'Pivot Tables'!L22:L33</f>
        <v>BUNGOMA</v>
      </c>
      <c r="L40" cm="1">
        <f t="array" ref="L40:L51">'Pivot Tables'!N22:N33</f>
        <v>0</v>
      </c>
      <c r="M40" t="str">
        <f>IF(L40&gt;2, "Priority", "Monitor")</f>
        <v>Monitor</v>
      </c>
    </row>
    <row r="41" spans="11:14">
      <c r="K41" t="str">
        <v>KAJIADO</v>
      </c>
      <c r="L41">
        <v>0</v>
      </c>
      <c r="M41" t="str">
        <f t="shared" ref="M41:M51" si="0">IF(L41&gt;2, "Priority", "Monitor")</f>
        <v>Monitor</v>
      </c>
    </row>
    <row r="42" spans="11:14">
      <c r="K42" t="str">
        <v>KAKAMEGA</v>
      </c>
      <c r="L42">
        <v>0</v>
      </c>
      <c r="M42" t="str">
        <f t="shared" si="0"/>
        <v>Monitor</v>
      </c>
    </row>
    <row r="43" spans="11:14">
      <c r="K43" t="str">
        <v>KIAMBU</v>
      </c>
      <c r="L43">
        <v>2</v>
      </c>
      <c r="M43" t="str">
        <f t="shared" si="0"/>
        <v>Monitor</v>
      </c>
    </row>
    <row r="44" spans="11:14">
      <c r="K44" t="str">
        <v>KISUMU</v>
      </c>
      <c r="L44">
        <v>0</v>
      </c>
      <c r="M44" t="str">
        <f t="shared" si="0"/>
        <v>Monitor</v>
      </c>
    </row>
    <row r="45" spans="11:14">
      <c r="K45" t="str">
        <v>MACHAKOS</v>
      </c>
      <c r="L45">
        <v>0</v>
      </c>
      <c r="M45" t="str">
        <f t="shared" si="0"/>
        <v>Monitor</v>
      </c>
    </row>
    <row r="46" spans="11:14">
      <c r="K46" t="str">
        <v>MOMBASA</v>
      </c>
      <c r="L46">
        <v>0</v>
      </c>
      <c r="M46" t="str">
        <f t="shared" si="0"/>
        <v>Monitor</v>
      </c>
    </row>
    <row r="47" spans="11:14">
      <c r="K47" t="str">
        <v>MURANG'A</v>
      </c>
      <c r="L47">
        <v>3</v>
      </c>
      <c r="M47" t="str">
        <f t="shared" si="0"/>
        <v>Priority</v>
      </c>
    </row>
    <row r="48" spans="11:14">
      <c r="K48" t="str">
        <v>NAIROBI</v>
      </c>
      <c r="L48">
        <v>6</v>
      </c>
      <c r="M48" t="str">
        <f t="shared" si="0"/>
        <v>Priority</v>
      </c>
    </row>
    <row r="49" spans="11:13">
      <c r="K49" t="str">
        <v>NAKURU</v>
      </c>
      <c r="L49">
        <v>0</v>
      </c>
      <c r="M49" t="str">
        <f t="shared" si="0"/>
        <v>Monitor</v>
      </c>
    </row>
    <row r="50" spans="11:13">
      <c r="K50" t="str">
        <v>NYERI</v>
      </c>
      <c r="L50">
        <v>2</v>
      </c>
      <c r="M50" t="str">
        <f t="shared" si="0"/>
        <v>Monitor</v>
      </c>
    </row>
    <row r="51" spans="11:13">
      <c r="K51" t="str">
        <v>UASINGISHU</v>
      </c>
      <c r="L51">
        <v>0</v>
      </c>
      <c r="M51" t="str">
        <f t="shared" si="0"/>
        <v>Monitor</v>
      </c>
    </row>
  </sheetData>
  <mergeCells count="18">
    <mergeCell ref="B1:Q1"/>
    <mergeCell ref="B2:Q2"/>
    <mergeCell ref="B3:Q3"/>
    <mergeCell ref="K37:N38"/>
    <mergeCell ref="B16:S18"/>
    <mergeCell ref="J13:L13"/>
    <mergeCell ref="N10:N11"/>
    <mergeCell ref="J9:L9"/>
    <mergeCell ref="N9:P9"/>
    <mergeCell ref="N13:P13"/>
    <mergeCell ref="B13:D13"/>
    <mergeCell ref="B14:D14"/>
    <mergeCell ref="B9:D9"/>
    <mergeCell ref="F9:H9"/>
    <mergeCell ref="F10:F11"/>
    <mergeCell ref="F13:H13"/>
    <mergeCell ref="B10:B11"/>
    <mergeCell ref="J10:K11"/>
  </mergeCells>
  <conditionalFormatting sqref="L40:L51">
    <cfRule type="cellIs" dxfId="0" priority="1" operator="greaterThan">
      <formula>2</formula>
    </cfRule>
  </conditionalFormatting>
  <pageMargins left="0.7" right="0.7" top="0.75" bottom="0.75" header="0.3" footer="0.3"/>
  <pageSetup scale="46"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Term 2 Population Data Colle...</vt:lpstr>
      <vt:lpstr>clean data</vt:lpstr>
      <vt:lpstr>Pivot Tables</vt:lpstr>
      <vt:lpstr>Dashboard </vt:lpstr>
      <vt:lpstr>'Dashboard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MUTUA</dc:creator>
  <cp:lastModifiedBy>JOSEPH MUTUA</cp:lastModifiedBy>
  <cp:lastPrinted>2026-07-03T15:15:22Z</cp:lastPrinted>
  <dcterms:created xsi:type="dcterms:W3CDTF">2026-06-08T07:28:32Z</dcterms:created>
  <dcterms:modified xsi:type="dcterms:W3CDTF">2026-07-03T15:30:39Z</dcterms:modified>
</cp:coreProperties>
</file>